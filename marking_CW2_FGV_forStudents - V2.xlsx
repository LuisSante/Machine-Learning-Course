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8"/>
  <workbookPr/>
  <mc:AlternateContent xmlns:mc="http://schemas.openxmlformats.org/markup-compatibility/2006">
    <mc:Choice Requires="x15">
      <x15ac:absPath xmlns:x15ac="http://schemas.microsoft.com/office/spreadsheetml/2010/11/ac" url="https://fgvbr-my.sharepoint.com/personal/aldo_alfonso_fgv_br/Documents/Machine Learning Monitoria/2025/labs/CW1/cw1_submissions/"/>
    </mc:Choice>
  </mc:AlternateContent>
  <xr:revisionPtr revIDLastSave="678" documentId="11_EFA267C3095051FA5909FF590E700DFB5894B0E4" xr6:coauthVersionLast="47" xr6:coauthVersionMax="47" xr10:uidLastSave="{A7155109-AACE-4FE5-B85F-DF4D053BEFD9}"/>
  <bookViews>
    <workbookView xWindow="16080" yWindow="591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4" i="1"/>
  <c r="N4" i="1" s="1"/>
  <c r="M3" i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26" i="1" l="1"/>
  <c r="N26" i="1" s="1"/>
  <c r="N57" i="1"/>
  <c r="N56" i="1"/>
  <c r="N52" i="1"/>
  <c r="N53" i="1"/>
  <c r="N54" i="1"/>
  <c r="N55" i="1"/>
  <c r="N36" i="1" l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33" i="1" l="1"/>
  <c r="N34" i="1"/>
  <c r="N35" i="1"/>
</calcChain>
</file>

<file path=xl/sharedStrings.xml><?xml version="1.0" encoding="utf-8"?>
<sst xmlns="http://schemas.openxmlformats.org/spreadsheetml/2006/main" count="130" uniqueCount="67">
  <si>
    <t>STATUS</t>
  </si>
  <si>
    <t>Student ID</t>
  </si>
  <si>
    <t>Exercise 1</t>
  </si>
  <si>
    <t>MARK 1</t>
  </si>
  <si>
    <t>Exercise 2</t>
  </si>
  <si>
    <t>MARK 2</t>
  </si>
  <si>
    <t>Exercise 3</t>
  </si>
  <si>
    <t>MARK 3</t>
  </si>
  <si>
    <t>Exercise 4</t>
  </si>
  <si>
    <t>Exercise 5</t>
  </si>
  <si>
    <t>MARK 5</t>
  </si>
  <si>
    <t>TOTAL</t>
  </si>
  <si>
    <t>%</t>
  </si>
  <si>
    <t>Comment</t>
  </si>
  <si>
    <t>function can output a training matrix with columns filled with zeros.</t>
  </si>
  <si>
    <t>(i) stop criterion is based on the reconstructed rating matrix and not on the parameters; (ii) the NMF function outputs a reconstructed matrix instead of learned matrix factors;</t>
  </si>
  <si>
    <t>good work</t>
  </si>
  <si>
    <t>stop criterion is based on the reconstructed rating matrix and not on the parameters</t>
  </si>
  <si>
    <t>one row of the rating matrix is missing</t>
  </si>
  <si>
    <t xml:space="preserve"> the stop criterion only takes into account the relative change of W, and not of H</t>
  </si>
  <si>
    <t>loss is incomplete, it did not include the regularization part</t>
  </si>
  <si>
    <t>unconstrained matrix factorization was implemented instead of SVD</t>
  </si>
  <si>
    <t>no results for SVD available</t>
  </si>
  <si>
    <t>good job</t>
  </si>
  <si>
    <t>the loss in the plot is masked, instead of the complete being optimized</t>
  </si>
  <si>
    <t>(i) stop criterion is based on the reconstructed rating matrix and not on the parameters; (ii) no regularization was asked for SVD</t>
  </si>
  <si>
    <t>you sampling procedure should resultin a training matrix without zero columns, instead of deleting those columns after sampling</t>
  </si>
  <si>
    <t>I marked the KL loss NMF implemented: good job</t>
  </si>
  <si>
    <t>(i) users with no 4/5 rating in the testing set were included in the calculation of Recall;  (ii) models were not retrained with the joint set of training and validation ratings.</t>
  </si>
  <si>
    <t xml:space="preserve"> the loss  in the plot is masked, instead of the complete being optimized</t>
  </si>
  <si>
    <t xml:space="preserve"> (i) signs of the regularization gradients are wrong; (ii) loss only include the difference between known ratings and their predicted values.</t>
  </si>
  <si>
    <t xml:space="preserve"> models were not retrained with the joint set of training and validation ratings.</t>
  </si>
  <si>
    <t>stop criterion missed to check the convergence of H</t>
  </si>
  <si>
    <t>stop criterion missed to check the convergence for some parameters</t>
  </si>
  <si>
    <t>users with no 4/5 rating in the testing set were included in the calculation of Recall</t>
  </si>
  <si>
    <t>(i) stop criterion missed to check the convergence of H; (ii) no loss plot is provided.</t>
  </si>
  <si>
    <t>(i) the gradeint corresponding to l1 regularization should contain sign(M); (ii) no loss plot is provided; (iii) poor selection of learning parameter.</t>
  </si>
  <si>
    <t>(i) stop criterion is based on the reconstructed rating matrix and not on the parameters; (ii) no loss plot is provided.</t>
  </si>
  <si>
    <t>no meaningfull results for SLIM is reported (due to the learning rate)</t>
  </si>
  <si>
    <t xml:space="preserve">good job </t>
  </si>
  <si>
    <t>(i) initialization values are allowed to be as big as one; (ii) the reported masked loss is not the loss being optimized.</t>
  </si>
  <si>
    <t>(i) initialization values are allowed to be as big as one; (ii) gradient is missing the l-1 reg part.</t>
  </si>
  <si>
    <t>the reported masked loss is not the loss being optimized</t>
  </si>
  <si>
    <t>no results for proper SLIM</t>
  </si>
  <si>
    <t>not all users have 5 ratings in each validation and test sets.</t>
  </si>
  <si>
    <t>(i) initialization values can be as high as one; (ii) gradient of l1 regularization is missing; (iii) the reported loss is masked</t>
  </si>
  <si>
    <t>gradient of l1 regularization is missing</t>
  </si>
  <si>
    <t>(i) no bar plot for recall; (ii) no results for SVD available</t>
  </si>
  <si>
    <t>(i) optimized for euclidean distance loss. However the reported one is the masked divergence loss; (ii) convergence did not check for all learnable parameters.</t>
  </si>
  <si>
    <t>(i) do not follow the algorithm described for SVD; the SVD decomposition is performed over a modified rating matrix, where the known ratings are centered (biased process); (ii) convergence depend on the reconstructed matrix instead of the learned parameters.</t>
  </si>
  <si>
    <t>1 hour late</t>
  </si>
  <si>
    <t>no l1 regularization</t>
  </si>
  <si>
    <t>(i) no results for SVD available; (ii) no need to validate the convergence tolerance; (iii) some plots have worng labels.</t>
  </si>
  <si>
    <t>good job. OBS: SLIM loss would have decreased if the learning rate was reduced, but normalization is an acceptable solution here.</t>
  </si>
  <si>
    <t xml:space="preserve"> matrix factorization contraint to be orthogonal was implemented  instead of SVD</t>
  </si>
  <si>
    <t xml:space="preserve">unconstrained matrix factorization was implemented instead of SVD	</t>
  </si>
  <si>
    <t xml:space="preserve"> (i) no results for SVD available; (ii) no recall is reported; (iii) no bar plots to show RMSE; (iv) no retraining using both validation and training sets</t>
  </si>
  <si>
    <t>(i) the zero entries were not replaced by the mean rating of the user; (ii) the zero entries of the rating matrix were not replaced by the new reconstructed values</t>
  </si>
  <si>
    <t>no reliable results for SVD</t>
  </si>
  <si>
    <t>the loss should be masked</t>
  </si>
  <si>
    <t>there is a mistake in SVD predictions, results do not correspond to what is expected.</t>
  </si>
  <si>
    <t xml:space="preserve"> rmse is not the loss being optimized; </t>
  </si>
  <si>
    <t>(i) no bar plot was provides; (ii) SVD results do not correspond to actual SVD</t>
  </si>
  <si>
    <t>(i) one row of the rating matrix is missing; (ii) training matrix have many columns filled exclusively with zeros.</t>
  </si>
  <si>
    <t xml:space="preserve"> convergence criteria was applied to the loss instead of the parameters.</t>
  </si>
  <si>
    <t>SLIM is not optimized by gradient descent.</t>
  </si>
  <si>
    <t>(i) none of the evaluated models are the methods that were asked for; (ii) no hyperparemter tuning; (iii) no retraining using the training and validation sets to asses the test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</si>
</sst>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3F3F3F"/>
      <name val="Calibri"/>
    </font>
    <font>
      <sz val="14"/>
      <color rgb="FF000000"/>
      <name val="Calibri"/>
    </font>
    <font>
      <b/>
      <sz val="12"/>
      <name val="Calibri"/>
    </font>
    <font>
      <b/>
      <sz val="12"/>
      <color rgb="FFC00000"/>
      <name val="Calibri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C00000"/>
      <name val="Calibri"/>
      <family val="2"/>
    </font>
    <font>
      <b/>
      <sz val="12"/>
      <color rgb="FFC00000"/>
      <name val="Calibri"/>
      <family val="2"/>
    </font>
    <font>
      <sz val="11"/>
      <color rgb="FFC00000"/>
      <name val="Calibri"/>
      <family val="2"/>
    </font>
    <font>
      <b/>
      <sz val="12"/>
      <color rgb="FFFF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</font>
    <font>
      <b/>
      <u/>
      <sz val="12"/>
      <color rgb="FF3F3F3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0.79998168889431442"/>
        <bgColor rgb="FFFFE599"/>
      </patternFill>
    </fill>
    <fill>
      <patternFill patternType="solid">
        <fgColor theme="9" tint="0.79998168889431442"/>
        <bgColor rgb="FFEA9999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rgb="FFFF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68">
    <xf numFmtId="0" fontId="0" fillId="0" borderId="0" xfId="0"/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4" fillId="5" borderId="4" xfId="1" applyBorder="1" applyAlignment="1">
      <alignment horizontal="center" vertical="center" wrapText="1"/>
    </xf>
    <xf numFmtId="0" fontId="4" fillId="6" borderId="2" xfId="2" applyBorder="1" applyAlignment="1">
      <alignment horizontal="center" vertical="center"/>
    </xf>
    <xf numFmtId="0" fontId="11" fillId="6" borderId="2" xfId="2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6" borderId="4" xfId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2" borderId="4" xfId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3" fillId="6" borderId="2" xfId="4" applyBorder="1" applyAlignment="1">
      <alignment horizontal="center" vertical="center"/>
    </xf>
    <xf numFmtId="0" fontId="3" fillId="6" borderId="2" xfId="4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1" fillId="6" borderId="10" xfId="2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0" fontId="1" fillId="6" borderId="11" xfId="4" applyFont="1" applyBorder="1" applyAlignment="1">
      <alignment horizontal="center" vertical="center"/>
    </xf>
    <xf numFmtId="0" fontId="1" fillId="5" borderId="12" xfId="1" applyFont="1" applyBorder="1" applyAlignment="1">
      <alignment horizontal="center" vertical="center" wrapText="1"/>
    </xf>
    <xf numFmtId="0" fontId="1" fillId="5" borderId="4" xfId="1" applyFont="1" applyBorder="1" applyAlignment="1">
      <alignment horizontal="center" vertical="center" wrapText="1"/>
    </xf>
    <xf numFmtId="0" fontId="1" fillId="5" borderId="1" xfId="1" applyFont="1" applyBorder="1" applyAlignment="1">
      <alignment horizontal="center" vertical="center" wrapText="1"/>
    </xf>
    <xf numFmtId="0" fontId="1" fillId="6" borderId="2" xfId="2" applyFont="1" applyBorder="1" applyAlignment="1">
      <alignment horizontal="center" vertical="center" wrapText="1"/>
    </xf>
    <xf numFmtId="0" fontId="1" fillId="6" borderId="2" xfId="2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wrapText="1"/>
    </xf>
    <xf numFmtId="0" fontId="5" fillId="7" borderId="5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5" borderId="6" xfId="1" applyFont="1" applyBorder="1" applyAlignment="1">
      <alignment horizontal="center" vertical="center" wrapText="1"/>
    </xf>
    <xf numFmtId="0" fontId="1" fillId="6" borderId="2" xfId="4" applyFont="1" applyBorder="1" applyAlignment="1">
      <alignment horizontal="center" vertical="center" wrapText="1"/>
    </xf>
    <xf numFmtId="0" fontId="1" fillId="6" borderId="2" xfId="4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</cellXfs>
  <cellStyles count="7">
    <cellStyle name="20% - Accent2 2" xfId="3" xr:uid="{00000000-0005-0000-0000-000001000000}"/>
    <cellStyle name="20% - Accent2 3" xfId="5" xr:uid="{00000000-0005-0000-0000-000002000000}"/>
    <cellStyle name="20% - Accent6 2" xfId="4" xr:uid="{00000000-0005-0000-0000-000004000000}"/>
    <cellStyle name="20% - Accent6 3" xfId="6" xr:uid="{00000000-0005-0000-0000-000005000000}"/>
    <cellStyle name="20% - Énfasis2" xfId="1" builtinId="34"/>
    <cellStyle name="20% - Énfasis6" xfId="2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tabSelected="1" zoomScale="115" zoomScaleNormal="115" workbookViewId="0">
      <pane ySplit="3" topLeftCell="A7" activePane="bottomLeft" state="frozen"/>
      <selection pane="bottomLeft" activeCell="I25" sqref="I25"/>
    </sheetView>
  </sheetViews>
  <sheetFormatPr defaultColWidth="14.42578125" defaultRowHeight="15" customHeight="1"/>
  <cols>
    <col min="1" max="1" width="16.42578125" style="26" customWidth="1"/>
    <col min="2" max="2" width="14.5703125" customWidth="1"/>
    <col min="3" max="3" width="15.140625" customWidth="1"/>
    <col min="4" max="4" width="11.28515625" customWidth="1"/>
    <col min="5" max="5" width="14.7109375" customWidth="1"/>
    <col min="6" max="6" width="11.28515625" customWidth="1"/>
    <col min="7" max="7" width="13.85546875" customWidth="1"/>
    <col min="8" max="8" width="11.28515625" customWidth="1"/>
    <col min="9" max="9" width="13.28515625" customWidth="1"/>
    <col min="10" max="10" width="11.28515625" customWidth="1"/>
    <col min="11" max="11" width="16" customWidth="1"/>
    <col min="12" max="12" width="11.28515625" customWidth="1"/>
    <col min="13" max="14" width="9.28515625" style="2" customWidth="1"/>
    <col min="15" max="15" width="18.5703125" style="24" customWidth="1"/>
  </cols>
  <sheetData>
    <row r="1" spans="1:15" ht="15.75">
      <c r="A1" s="25"/>
      <c r="B1" s="4"/>
      <c r="C1" s="10"/>
      <c r="D1" s="10"/>
      <c r="E1" s="7"/>
      <c r="F1" s="1"/>
      <c r="G1" s="11"/>
      <c r="H1" s="12"/>
      <c r="I1" s="22"/>
      <c r="J1" s="22"/>
      <c r="K1" s="55"/>
      <c r="L1" s="55"/>
    </row>
    <row r="2" spans="1:15" ht="16.5">
      <c r="A2" s="35" t="s">
        <v>0</v>
      </c>
      <c r="B2" s="28" t="s">
        <v>1</v>
      </c>
      <c r="C2" s="36" t="s">
        <v>2</v>
      </c>
      <c r="D2" s="36" t="s">
        <v>3</v>
      </c>
      <c r="E2" s="37" t="s">
        <v>4</v>
      </c>
      <c r="F2" s="38" t="s">
        <v>5</v>
      </c>
      <c r="G2" s="39" t="s">
        <v>6</v>
      </c>
      <c r="H2" s="53" t="s">
        <v>7</v>
      </c>
      <c r="I2" s="37" t="s">
        <v>8</v>
      </c>
      <c r="J2" s="38" t="s">
        <v>5</v>
      </c>
      <c r="K2" s="51" t="s">
        <v>9</v>
      </c>
      <c r="L2" s="51" t="s">
        <v>10</v>
      </c>
      <c r="M2" s="34" t="s">
        <v>11</v>
      </c>
      <c r="N2" s="65" t="s">
        <v>12</v>
      </c>
    </row>
    <row r="3" spans="1:15" ht="18.75">
      <c r="A3" s="41"/>
      <c r="B3" s="42"/>
      <c r="C3" s="10" t="s">
        <v>13</v>
      </c>
      <c r="D3" s="10">
        <v>2</v>
      </c>
      <c r="E3" s="43" t="s">
        <v>13</v>
      </c>
      <c r="F3" s="43">
        <v>7</v>
      </c>
      <c r="G3" s="44" t="s">
        <v>13</v>
      </c>
      <c r="H3" s="54">
        <v>7</v>
      </c>
      <c r="I3" s="43" t="s">
        <v>13</v>
      </c>
      <c r="J3" s="43">
        <v>7</v>
      </c>
      <c r="K3" s="52" t="s">
        <v>13</v>
      </c>
      <c r="L3" s="52">
        <v>5</v>
      </c>
      <c r="M3" s="34">
        <f>SUM(D3,F3,H3,J3,L3)</f>
        <v>28</v>
      </c>
      <c r="N3" s="66"/>
      <c r="O3" s="23"/>
    </row>
    <row r="4" spans="1:15" ht="198">
      <c r="A4" s="40"/>
      <c r="B4" s="29">
        <v>60302</v>
      </c>
      <c r="C4" s="58" t="s">
        <v>14</v>
      </c>
      <c r="D4" s="45">
        <v>1</v>
      </c>
      <c r="E4" s="46" t="s">
        <v>15</v>
      </c>
      <c r="F4" s="59">
        <v>5</v>
      </c>
      <c r="G4" s="57" t="s">
        <v>16</v>
      </c>
      <c r="H4" s="57">
        <v>7</v>
      </c>
      <c r="I4" s="56" t="s">
        <v>17</v>
      </c>
      <c r="J4" s="56">
        <v>6</v>
      </c>
      <c r="K4" s="57" t="s">
        <v>16</v>
      </c>
      <c r="L4" s="57">
        <v>5</v>
      </c>
      <c r="M4" s="34">
        <f>SUM(D4,F4,H4,J4,L4)</f>
        <v>24</v>
      </c>
      <c r="N4" s="2">
        <f>ROUNDUP(M4/28*100,0)</f>
        <v>86</v>
      </c>
      <c r="O4" s="23"/>
    </row>
    <row r="5" spans="1:15" ht="106.5">
      <c r="A5" s="25"/>
      <c r="B5" s="5">
        <v>114114</v>
      </c>
      <c r="C5" s="60" t="s">
        <v>18</v>
      </c>
      <c r="D5" s="61">
        <v>1.5</v>
      </c>
      <c r="E5" s="47" t="s">
        <v>19</v>
      </c>
      <c r="F5" s="48">
        <v>6</v>
      </c>
      <c r="G5" s="62" t="s">
        <v>20</v>
      </c>
      <c r="H5" s="58">
        <v>6</v>
      </c>
      <c r="I5" s="56" t="s">
        <v>21</v>
      </c>
      <c r="J5" s="56">
        <v>0</v>
      </c>
      <c r="K5" s="58" t="s">
        <v>22</v>
      </c>
      <c r="L5" s="58">
        <v>4</v>
      </c>
      <c r="M5" s="34">
        <f t="shared" ref="M5:M25" si="0">SUM(D5,F5,H5,J5,L5)</f>
        <v>17.5</v>
      </c>
      <c r="N5" s="2">
        <f t="shared" ref="N5:N25" si="1">ROUNDUP(M5/28*100,0)</f>
        <v>63</v>
      </c>
      <c r="O5" s="23"/>
    </row>
    <row r="6" spans="1:15" ht="183">
      <c r="A6" s="25"/>
      <c r="B6" s="5">
        <v>130713</v>
      </c>
      <c r="C6" s="58" t="s">
        <v>23</v>
      </c>
      <c r="D6" s="58">
        <v>2</v>
      </c>
      <c r="E6" s="47" t="s">
        <v>24</v>
      </c>
      <c r="F6" s="56">
        <v>6</v>
      </c>
      <c r="G6" s="58" t="s">
        <v>23</v>
      </c>
      <c r="H6" s="58">
        <v>7</v>
      </c>
      <c r="I6" s="56" t="s">
        <v>25</v>
      </c>
      <c r="J6" s="56">
        <v>5</v>
      </c>
      <c r="K6" s="58" t="s">
        <v>16</v>
      </c>
      <c r="L6" s="58">
        <v>5</v>
      </c>
      <c r="M6" s="34">
        <f t="shared" si="0"/>
        <v>25</v>
      </c>
      <c r="N6" s="2">
        <f t="shared" si="1"/>
        <v>90</v>
      </c>
      <c r="O6" s="23"/>
    </row>
    <row r="7" spans="1:15" ht="183">
      <c r="A7" s="25"/>
      <c r="B7" s="5">
        <v>141325</v>
      </c>
      <c r="C7" s="60" t="s">
        <v>26</v>
      </c>
      <c r="D7" s="61">
        <v>1</v>
      </c>
      <c r="E7" s="47" t="s">
        <v>27</v>
      </c>
      <c r="F7" s="48">
        <v>7</v>
      </c>
      <c r="G7" s="62" t="s">
        <v>23</v>
      </c>
      <c r="H7" s="63">
        <v>7</v>
      </c>
      <c r="I7" s="56" t="s">
        <v>23</v>
      </c>
      <c r="J7" s="56">
        <v>7</v>
      </c>
      <c r="K7" s="58" t="s">
        <v>28</v>
      </c>
      <c r="L7" s="63">
        <v>3</v>
      </c>
      <c r="M7" s="34">
        <f t="shared" si="0"/>
        <v>25</v>
      </c>
      <c r="N7" s="2">
        <f t="shared" si="1"/>
        <v>90</v>
      </c>
      <c r="O7" s="23"/>
    </row>
    <row r="8" spans="1:15" ht="167.25">
      <c r="A8" s="25"/>
      <c r="B8" s="5">
        <v>143306</v>
      </c>
      <c r="C8" s="58" t="s">
        <v>14</v>
      </c>
      <c r="D8" s="45">
        <v>1</v>
      </c>
      <c r="E8" s="47" t="s">
        <v>29</v>
      </c>
      <c r="F8" s="48">
        <v>6</v>
      </c>
      <c r="G8" s="62" t="s">
        <v>30</v>
      </c>
      <c r="H8" s="58">
        <v>4</v>
      </c>
      <c r="I8" s="56" t="s">
        <v>23</v>
      </c>
      <c r="J8" s="56">
        <v>7</v>
      </c>
      <c r="K8" s="58" t="s">
        <v>31</v>
      </c>
      <c r="L8" s="58">
        <v>4</v>
      </c>
      <c r="M8" s="34">
        <f t="shared" si="0"/>
        <v>22</v>
      </c>
      <c r="N8" s="2">
        <f t="shared" si="1"/>
        <v>79</v>
      </c>
      <c r="O8" s="23"/>
    </row>
    <row r="9" spans="1:15" ht="91.5">
      <c r="A9" s="25"/>
      <c r="B9" s="5">
        <v>159224</v>
      </c>
      <c r="C9" s="60" t="s">
        <v>23</v>
      </c>
      <c r="D9" s="61">
        <v>2</v>
      </c>
      <c r="E9" s="47" t="s">
        <v>32</v>
      </c>
      <c r="F9" s="48">
        <v>6</v>
      </c>
      <c r="G9" s="58" t="s">
        <v>23</v>
      </c>
      <c r="H9" s="58">
        <v>7</v>
      </c>
      <c r="I9" s="47" t="s">
        <v>33</v>
      </c>
      <c r="J9" s="56">
        <v>6</v>
      </c>
      <c r="K9" s="58" t="s">
        <v>34</v>
      </c>
      <c r="L9" s="58">
        <v>4</v>
      </c>
      <c r="M9" s="34">
        <f t="shared" si="0"/>
        <v>25</v>
      </c>
      <c r="N9" s="2">
        <f t="shared" si="1"/>
        <v>90</v>
      </c>
      <c r="O9" s="23"/>
    </row>
    <row r="10" spans="1:15" ht="167.25">
      <c r="B10" s="5">
        <v>170611</v>
      </c>
      <c r="C10" s="58" t="s">
        <v>23</v>
      </c>
      <c r="D10" s="58">
        <v>2</v>
      </c>
      <c r="E10" s="47" t="s">
        <v>35</v>
      </c>
      <c r="F10" s="48">
        <v>5.5</v>
      </c>
      <c r="G10" s="62" t="s">
        <v>36</v>
      </c>
      <c r="H10" s="58">
        <v>5</v>
      </c>
      <c r="I10" s="47" t="s">
        <v>37</v>
      </c>
      <c r="J10" s="56">
        <v>5.5</v>
      </c>
      <c r="K10" s="58" t="s">
        <v>38</v>
      </c>
      <c r="L10" s="58">
        <v>4</v>
      </c>
      <c r="M10" s="34">
        <f t="shared" si="0"/>
        <v>22</v>
      </c>
      <c r="N10" s="2">
        <f t="shared" si="1"/>
        <v>79</v>
      </c>
      <c r="O10" s="23"/>
    </row>
    <row r="11" spans="1:15" ht="137.25">
      <c r="A11" s="25"/>
      <c r="B11" s="5">
        <v>171103</v>
      </c>
      <c r="C11" s="58" t="s">
        <v>39</v>
      </c>
      <c r="D11" s="61">
        <v>2</v>
      </c>
      <c r="E11" s="47" t="s">
        <v>40</v>
      </c>
      <c r="F11" s="48">
        <v>5.5</v>
      </c>
      <c r="G11" s="58" t="s">
        <v>41</v>
      </c>
      <c r="H11" s="58">
        <v>5.5</v>
      </c>
      <c r="I11" s="56" t="s">
        <v>21</v>
      </c>
      <c r="J11" s="56">
        <v>0</v>
      </c>
      <c r="K11" s="58" t="s">
        <v>22</v>
      </c>
      <c r="L11" s="58">
        <v>4</v>
      </c>
      <c r="M11" s="34">
        <f t="shared" si="0"/>
        <v>17</v>
      </c>
      <c r="N11" s="2">
        <f t="shared" si="1"/>
        <v>61</v>
      </c>
      <c r="O11" s="23"/>
    </row>
    <row r="12" spans="1:15" ht="60.75">
      <c r="A12" s="25"/>
      <c r="B12" s="5">
        <v>177977</v>
      </c>
      <c r="C12" s="60" t="s">
        <v>39</v>
      </c>
      <c r="D12" s="61">
        <v>2</v>
      </c>
      <c r="E12" s="47" t="s">
        <v>42</v>
      </c>
      <c r="F12" s="48">
        <v>6</v>
      </c>
      <c r="G12" s="58" t="s">
        <v>23</v>
      </c>
      <c r="H12" s="58">
        <v>7</v>
      </c>
      <c r="I12" s="56" t="s">
        <v>23</v>
      </c>
      <c r="J12" s="56">
        <v>7</v>
      </c>
      <c r="K12" s="58" t="s">
        <v>43</v>
      </c>
      <c r="L12" s="58">
        <v>4</v>
      </c>
      <c r="M12" s="34">
        <f t="shared" si="0"/>
        <v>26</v>
      </c>
      <c r="N12" s="2">
        <f t="shared" si="1"/>
        <v>93</v>
      </c>
      <c r="O12" s="23"/>
    </row>
    <row r="13" spans="1:15" ht="137.25">
      <c r="A13" s="25"/>
      <c r="B13" s="5">
        <v>200525</v>
      </c>
      <c r="C13" s="58" t="s">
        <v>44</v>
      </c>
      <c r="D13" s="58">
        <v>1</v>
      </c>
      <c r="E13" s="47" t="s">
        <v>42</v>
      </c>
      <c r="F13" s="48">
        <v>6</v>
      </c>
      <c r="G13" s="58" t="s">
        <v>45</v>
      </c>
      <c r="H13" s="58">
        <v>5</v>
      </c>
      <c r="I13" s="56" t="s">
        <v>21</v>
      </c>
      <c r="J13" s="56">
        <v>0</v>
      </c>
      <c r="K13" s="58" t="s">
        <v>22</v>
      </c>
      <c r="L13" s="58">
        <v>4</v>
      </c>
      <c r="M13" s="34">
        <f t="shared" si="0"/>
        <v>16</v>
      </c>
      <c r="N13" s="2">
        <f t="shared" si="1"/>
        <v>58</v>
      </c>
      <c r="O13" s="23"/>
    </row>
    <row r="14" spans="1:15" ht="106.5">
      <c r="A14" s="25"/>
      <c r="B14" s="5">
        <v>201932</v>
      </c>
      <c r="C14" s="58" t="s">
        <v>14</v>
      </c>
      <c r="D14" s="58">
        <v>1</v>
      </c>
      <c r="E14" s="47" t="s">
        <v>23</v>
      </c>
      <c r="F14" s="48">
        <v>7</v>
      </c>
      <c r="G14" s="58" t="s">
        <v>46</v>
      </c>
      <c r="H14" s="58">
        <v>6</v>
      </c>
      <c r="I14" s="56" t="s">
        <v>21</v>
      </c>
      <c r="J14" s="56">
        <v>0</v>
      </c>
      <c r="K14" s="58" t="s">
        <v>22</v>
      </c>
      <c r="L14" s="58">
        <v>4</v>
      </c>
      <c r="M14" s="34">
        <f t="shared" si="0"/>
        <v>18</v>
      </c>
      <c r="N14" s="2">
        <f t="shared" si="1"/>
        <v>65</v>
      </c>
      <c r="O14" s="23"/>
    </row>
    <row r="15" spans="1:15" ht="106.5">
      <c r="B15" s="5">
        <v>222600</v>
      </c>
      <c r="C15" s="60" t="s">
        <v>39</v>
      </c>
      <c r="D15" s="61">
        <v>2</v>
      </c>
      <c r="E15" s="47" t="s">
        <v>23</v>
      </c>
      <c r="F15" s="48">
        <v>7</v>
      </c>
      <c r="G15" s="62" t="s">
        <v>23</v>
      </c>
      <c r="H15" s="58">
        <v>7</v>
      </c>
      <c r="I15" s="56" t="s">
        <v>21</v>
      </c>
      <c r="J15" s="56">
        <v>0</v>
      </c>
      <c r="K15" s="58" t="s">
        <v>47</v>
      </c>
      <c r="L15" s="58">
        <v>3.5</v>
      </c>
      <c r="M15" s="34">
        <f t="shared" si="0"/>
        <v>19.5</v>
      </c>
      <c r="N15" s="2">
        <f t="shared" si="1"/>
        <v>70</v>
      </c>
      <c r="O15" s="23"/>
    </row>
    <row r="16" spans="1:15" ht="351">
      <c r="A16" s="25"/>
      <c r="B16" s="5">
        <v>260500</v>
      </c>
      <c r="C16" s="58" t="s">
        <v>44</v>
      </c>
      <c r="D16" s="58">
        <v>1</v>
      </c>
      <c r="E16" s="47" t="s">
        <v>48</v>
      </c>
      <c r="F16" s="48">
        <v>5</v>
      </c>
      <c r="G16" s="62" t="s">
        <v>23</v>
      </c>
      <c r="H16" s="58">
        <v>7</v>
      </c>
      <c r="I16" s="56" t="s">
        <v>49</v>
      </c>
      <c r="J16" s="56">
        <v>5</v>
      </c>
      <c r="K16" s="58" t="s">
        <v>23</v>
      </c>
      <c r="L16" s="58">
        <v>5</v>
      </c>
      <c r="M16" s="34">
        <f t="shared" si="0"/>
        <v>23</v>
      </c>
      <c r="N16" s="2">
        <f t="shared" si="1"/>
        <v>83</v>
      </c>
      <c r="O16" s="23"/>
    </row>
    <row r="17" spans="1:15" ht="121.5">
      <c r="A17" s="25" t="s">
        <v>50</v>
      </c>
      <c r="B17" s="5">
        <v>270505</v>
      </c>
      <c r="C17" s="58" t="s">
        <v>44</v>
      </c>
      <c r="D17" s="58">
        <v>1</v>
      </c>
      <c r="E17" s="47" t="s">
        <v>32</v>
      </c>
      <c r="F17" s="48">
        <v>6</v>
      </c>
      <c r="G17" s="62" t="s">
        <v>51</v>
      </c>
      <c r="H17" s="58">
        <v>6</v>
      </c>
      <c r="I17" s="56" t="s">
        <v>21</v>
      </c>
      <c r="J17" s="56">
        <v>0</v>
      </c>
      <c r="K17" s="58" t="s">
        <v>52</v>
      </c>
      <c r="L17" s="58">
        <v>3.5</v>
      </c>
      <c r="M17" s="34">
        <f t="shared" si="0"/>
        <v>16.5</v>
      </c>
      <c r="N17" s="2">
        <f t="shared" si="1"/>
        <v>59</v>
      </c>
      <c r="O17" s="23"/>
    </row>
    <row r="18" spans="1:15" ht="167.25">
      <c r="A18" s="25"/>
      <c r="B18" s="5">
        <v>326532</v>
      </c>
      <c r="C18" s="58" t="s">
        <v>44</v>
      </c>
      <c r="D18" s="58">
        <v>1</v>
      </c>
      <c r="E18" s="47" t="s">
        <v>23</v>
      </c>
      <c r="F18" s="48">
        <v>7</v>
      </c>
      <c r="G18" s="58" t="s">
        <v>53</v>
      </c>
      <c r="H18" s="58">
        <v>7</v>
      </c>
      <c r="I18" s="56" t="s">
        <v>21</v>
      </c>
      <c r="J18" s="56">
        <v>0</v>
      </c>
      <c r="K18" s="58" t="s">
        <v>22</v>
      </c>
      <c r="L18" s="58">
        <v>4</v>
      </c>
      <c r="M18" s="34">
        <f t="shared" si="0"/>
        <v>19</v>
      </c>
      <c r="N18" s="2">
        <f t="shared" si="1"/>
        <v>68</v>
      </c>
      <c r="O18" s="23"/>
    </row>
    <row r="19" spans="1:15" ht="121.5">
      <c r="A19" s="25"/>
      <c r="B19" s="5">
        <v>445811</v>
      </c>
      <c r="C19" s="58" t="s">
        <v>44</v>
      </c>
      <c r="D19" s="58">
        <v>1</v>
      </c>
      <c r="E19" s="47" t="s">
        <v>42</v>
      </c>
      <c r="F19" s="48">
        <v>6</v>
      </c>
      <c r="G19" s="58" t="s">
        <v>42</v>
      </c>
      <c r="H19" s="58">
        <v>6</v>
      </c>
      <c r="I19" s="56" t="s">
        <v>54</v>
      </c>
      <c r="J19" s="56">
        <v>0</v>
      </c>
      <c r="K19" s="58" t="s">
        <v>22</v>
      </c>
      <c r="L19" s="58">
        <v>4</v>
      </c>
      <c r="M19" s="34">
        <f t="shared" si="0"/>
        <v>17</v>
      </c>
      <c r="N19" s="2">
        <f t="shared" si="1"/>
        <v>61</v>
      </c>
      <c r="O19" s="23"/>
    </row>
    <row r="20" spans="1:15" ht="137.25">
      <c r="A20" s="25"/>
      <c r="B20" s="5">
        <v>506454</v>
      </c>
      <c r="C20" s="60" t="s">
        <v>16</v>
      </c>
      <c r="D20" s="61">
        <v>2</v>
      </c>
      <c r="E20" s="47" t="s">
        <v>23</v>
      </c>
      <c r="F20" s="48">
        <v>7</v>
      </c>
      <c r="G20" s="62" t="s">
        <v>23</v>
      </c>
      <c r="H20" s="58">
        <v>7</v>
      </c>
      <c r="I20" s="56" t="s">
        <v>55</v>
      </c>
      <c r="J20" s="56">
        <v>0</v>
      </c>
      <c r="K20" s="58" t="s">
        <v>56</v>
      </c>
      <c r="L20" s="58">
        <v>1.5</v>
      </c>
      <c r="M20" s="34">
        <f t="shared" si="0"/>
        <v>17.5</v>
      </c>
      <c r="N20" s="2">
        <f t="shared" si="1"/>
        <v>63</v>
      </c>
      <c r="O20" s="23"/>
    </row>
    <row r="21" spans="1:15" ht="198">
      <c r="A21" s="25"/>
      <c r="B21" s="5">
        <v>527092</v>
      </c>
      <c r="C21" s="60" t="s">
        <v>39</v>
      </c>
      <c r="D21" s="61">
        <v>2</v>
      </c>
      <c r="E21" s="47" t="s">
        <v>42</v>
      </c>
      <c r="F21" s="48">
        <v>6</v>
      </c>
      <c r="G21" s="58" t="s">
        <v>42</v>
      </c>
      <c r="H21" s="58">
        <v>6</v>
      </c>
      <c r="I21" s="56" t="s">
        <v>57</v>
      </c>
      <c r="J21" s="56">
        <v>3</v>
      </c>
      <c r="K21" s="58" t="s">
        <v>58</v>
      </c>
      <c r="L21" s="58">
        <v>4</v>
      </c>
      <c r="M21" s="34">
        <f t="shared" si="0"/>
        <v>21</v>
      </c>
      <c r="N21" s="2">
        <f t="shared" si="1"/>
        <v>75</v>
      </c>
      <c r="O21" s="23"/>
    </row>
    <row r="22" spans="1:15" ht="91.5">
      <c r="A22" s="25"/>
      <c r="B22" s="5">
        <v>709034</v>
      </c>
      <c r="C22" s="58" t="s">
        <v>39</v>
      </c>
      <c r="D22" s="58">
        <v>2</v>
      </c>
      <c r="E22" s="47" t="s">
        <v>23</v>
      </c>
      <c r="F22" s="48">
        <v>7</v>
      </c>
      <c r="G22" s="58" t="s">
        <v>23</v>
      </c>
      <c r="H22" s="58">
        <v>7</v>
      </c>
      <c r="I22" s="56" t="s">
        <v>59</v>
      </c>
      <c r="J22" s="56">
        <v>6</v>
      </c>
      <c r="K22" s="58" t="s">
        <v>60</v>
      </c>
      <c r="L22" s="58">
        <v>4</v>
      </c>
      <c r="M22" s="34">
        <f t="shared" si="0"/>
        <v>26</v>
      </c>
      <c r="N22" s="2">
        <f t="shared" si="1"/>
        <v>93</v>
      </c>
      <c r="O22" s="23"/>
    </row>
    <row r="23" spans="1:15" ht="18.75">
      <c r="A23" s="25"/>
      <c r="B23" s="5">
        <v>753951</v>
      </c>
      <c r="C23" s="58" t="s">
        <v>39</v>
      </c>
      <c r="D23" s="58">
        <v>2</v>
      </c>
      <c r="E23" s="47" t="s">
        <v>23</v>
      </c>
      <c r="F23" s="48">
        <v>7</v>
      </c>
      <c r="G23" s="58" t="s">
        <v>23</v>
      </c>
      <c r="H23" s="58">
        <v>7</v>
      </c>
      <c r="I23" s="56" t="s">
        <v>23</v>
      </c>
      <c r="J23" s="56">
        <v>7</v>
      </c>
      <c r="K23" s="58" t="s">
        <v>23</v>
      </c>
      <c r="L23" s="58">
        <v>5</v>
      </c>
      <c r="M23" s="34">
        <f t="shared" si="0"/>
        <v>28</v>
      </c>
      <c r="N23" s="2">
        <f t="shared" si="1"/>
        <v>100</v>
      </c>
      <c r="O23" s="23"/>
    </row>
    <row r="24" spans="1:15" ht="106.5">
      <c r="A24" s="25"/>
      <c r="B24" s="5">
        <v>793625</v>
      </c>
      <c r="C24" s="58" t="s">
        <v>14</v>
      </c>
      <c r="D24" s="58">
        <v>1</v>
      </c>
      <c r="E24" s="47" t="s">
        <v>32</v>
      </c>
      <c r="F24" s="48">
        <v>6</v>
      </c>
      <c r="G24" s="58" t="s">
        <v>61</v>
      </c>
      <c r="H24" s="58">
        <v>6</v>
      </c>
      <c r="I24" s="56" t="s">
        <v>55</v>
      </c>
      <c r="J24" s="56">
        <v>0</v>
      </c>
      <c r="K24" s="58" t="s">
        <v>62</v>
      </c>
      <c r="L24" s="58">
        <v>3</v>
      </c>
      <c r="M24" s="34">
        <f t="shared" si="0"/>
        <v>16</v>
      </c>
      <c r="N24" s="2">
        <f t="shared" si="1"/>
        <v>58</v>
      </c>
      <c r="O24" s="23"/>
    </row>
    <row r="25" spans="1:15" ht="198">
      <c r="A25" s="25"/>
      <c r="B25" s="28">
        <v>888888</v>
      </c>
      <c r="C25" s="58" t="s">
        <v>63</v>
      </c>
      <c r="D25" s="58">
        <v>0.5</v>
      </c>
      <c r="E25" s="47" t="s">
        <v>64</v>
      </c>
      <c r="F25" s="48">
        <v>6</v>
      </c>
      <c r="G25" s="58" t="s">
        <v>65</v>
      </c>
      <c r="H25" s="58">
        <v>2</v>
      </c>
      <c r="I25" s="67" t="s">
        <v>55</v>
      </c>
      <c r="J25" s="56">
        <v>0</v>
      </c>
      <c r="K25" s="58" t="s">
        <v>66</v>
      </c>
      <c r="L25" s="58">
        <v>1</v>
      </c>
      <c r="M25" s="34">
        <f t="shared" si="0"/>
        <v>9.5</v>
      </c>
      <c r="N25" s="2">
        <f t="shared" si="1"/>
        <v>34</v>
      </c>
      <c r="O25" s="23"/>
    </row>
    <row r="26" spans="1:15" ht="18.75">
      <c r="A26" s="27"/>
      <c r="B26" s="30"/>
      <c r="C26" s="60"/>
      <c r="D26" s="61"/>
      <c r="E26" s="47"/>
      <c r="F26" s="48"/>
      <c r="G26" s="62"/>
      <c r="H26" s="58"/>
      <c r="I26" s="56"/>
      <c r="J26" s="56"/>
      <c r="K26" s="58"/>
      <c r="L26" s="58"/>
      <c r="M26" s="2">
        <f>AVERAGE(M4:M25)</f>
        <v>20.477272727272727</v>
      </c>
      <c r="N26" s="2">
        <f>ROUNDUP(M26/28*100,0)</f>
        <v>74</v>
      </c>
      <c r="O26" s="23"/>
    </row>
    <row r="27" spans="1:15" ht="18.75">
      <c r="A27" s="25"/>
      <c r="B27" s="29"/>
      <c r="C27" s="60"/>
      <c r="D27" s="61"/>
      <c r="E27" s="47"/>
      <c r="F27" s="48"/>
      <c r="G27" s="58"/>
      <c r="H27" s="58"/>
      <c r="I27" s="56"/>
      <c r="J27" s="56"/>
      <c r="K27" s="58"/>
      <c r="L27" s="58"/>
      <c r="M27" s="2">
        <f t="shared" ref="M5:M57" si="2">SUM(D27,F27,H27)</f>
        <v>0</v>
      </c>
      <c r="N27" s="64">
        <f t="shared" ref="N5:N32" si="3">ROUNDUP(M27/22*100,0)</f>
        <v>0</v>
      </c>
      <c r="O27" s="23"/>
    </row>
    <row r="28" spans="1:15" ht="18.75">
      <c r="A28" s="25"/>
      <c r="B28" s="5"/>
      <c r="C28" s="60"/>
      <c r="D28" s="61"/>
      <c r="E28" s="47"/>
      <c r="F28" s="48"/>
      <c r="G28" s="58"/>
      <c r="H28" s="58"/>
      <c r="I28" s="56"/>
      <c r="J28" s="56"/>
      <c r="K28" s="58"/>
      <c r="L28" s="58"/>
      <c r="M28" s="2">
        <f t="shared" si="2"/>
        <v>0</v>
      </c>
      <c r="N28" s="2">
        <f t="shared" si="3"/>
        <v>0</v>
      </c>
      <c r="O28" s="23"/>
    </row>
    <row r="29" spans="1:15" ht="18.75">
      <c r="A29" s="25"/>
      <c r="B29" s="5"/>
      <c r="C29" s="60"/>
      <c r="D29" s="61"/>
      <c r="E29" s="47"/>
      <c r="F29" s="48"/>
      <c r="G29" s="58"/>
      <c r="H29" s="58"/>
      <c r="I29" s="56"/>
      <c r="J29" s="56"/>
      <c r="K29" s="58"/>
      <c r="L29" s="58"/>
      <c r="M29" s="2">
        <f t="shared" si="2"/>
        <v>0</v>
      </c>
      <c r="N29" s="2">
        <f t="shared" si="3"/>
        <v>0</v>
      </c>
      <c r="O29" s="23"/>
    </row>
    <row r="30" spans="1:15" ht="18.75">
      <c r="A30" s="25"/>
      <c r="B30" s="5"/>
      <c r="C30" s="60"/>
      <c r="D30" s="61"/>
      <c r="E30" s="47"/>
      <c r="F30" s="48"/>
      <c r="G30" s="58"/>
      <c r="H30" s="58"/>
      <c r="I30" s="56"/>
      <c r="J30" s="56"/>
      <c r="K30" s="58"/>
      <c r="L30" s="58"/>
      <c r="M30" s="2">
        <f t="shared" si="2"/>
        <v>0</v>
      </c>
      <c r="N30" s="2">
        <f t="shared" si="3"/>
        <v>0</v>
      </c>
      <c r="O30" s="23"/>
    </row>
    <row r="31" spans="1:15" ht="18.75">
      <c r="A31" s="25"/>
      <c r="B31" s="5"/>
      <c r="C31" s="60"/>
      <c r="D31" s="61"/>
      <c r="E31" s="47"/>
      <c r="F31" s="48"/>
      <c r="G31" s="58"/>
      <c r="H31" s="58"/>
      <c r="I31" s="56"/>
      <c r="J31" s="56"/>
      <c r="K31" s="58"/>
      <c r="L31" s="58"/>
      <c r="M31" s="2">
        <f t="shared" si="2"/>
        <v>0</v>
      </c>
      <c r="N31" s="2">
        <f t="shared" si="3"/>
        <v>0</v>
      </c>
      <c r="O31" s="23"/>
    </row>
    <row r="32" spans="1:15" ht="18.75">
      <c r="A32" s="25"/>
      <c r="B32" s="5"/>
      <c r="C32" s="33"/>
      <c r="D32" s="32"/>
      <c r="E32" s="47"/>
      <c r="F32" s="3"/>
      <c r="G32" s="14"/>
      <c r="H32" s="14"/>
      <c r="I32" s="22"/>
      <c r="J32" s="22"/>
      <c r="K32" s="14"/>
      <c r="L32" s="14"/>
      <c r="M32" s="2">
        <f t="shared" si="2"/>
        <v>0</v>
      </c>
      <c r="N32" s="2">
        <f t="shared" si="3"/>
        <v>0</v>
      </c>
      <c r="O32" s="23"/>
    </row>
    <row r="33" spans="1:15" ht="18.75">
      <c r="A33" s="25"/>
      <c r="B33" s="5"/>
      <c r="C33" s="33"/>
      <c r="D33" s="32"/>
      <c r="E33" s="47"/>
      <c r="F33" s="3"/>
      <c r="G33" s="14"/>
      <c r="H33" s="14"/>
      <c r="I33" s="22"/>
      <c r="J33" s="22"/>
      <c r="K33" s="14"/>
      <c r="L33" s="14"/>
      <c r="M33" s="2">
        <f t="shared" si="2"/>
        <v>0</v>
      </c>
      <c r="N33" s="2">
        <f t="shared" ref="N5:N35" si="4">ROUNDUP(M33/23*100,0)</f>
        <v>0</v>
      </c>
      <c r="O33" s="23"/>
    </row>
    <row r="34" spans="1:15" ht="18.75">
      <c r="A34" s="25"/>
      <c r="B34" s="5"/>
      <c r="C34" s="33"/>
      <c r="D34" s="32"/>
      <c r="E34" s="47"/>
      <c r="F34" s="3"/>
      <c r="G34" s="14"/>
      <c r="H34" s="14"/>
      <c r="I34" s="22"/>
      <c r="J34" s="22"/>
      <c r="K34" s="14"/>
      <c r="L34" s="14"/>
      <c r="M34" s="2">
        <f t="shared" si="2"/>
        <v>0</v>
      </c>
      <c r="N34" s="2">
        <f t="shared" si="4"/>
        <v>0</v>
      </c>
      <c r="O34" s="23"/>
    </row>
    <row r="35" spans="1:15" ht="18.75">
      <c r="A35" s="25"/>
      <c r="B35" s="5"/>
      <c r="C35" s="33"/>
      <c r="D35" s="32"/>
      <c r="E35" s="47"/>
      <c r="F35" s="3"/>
      <c r="G35" s="14"/>
      <c r="H35" s="14"/>
      <c r="I35" s="22"/>
      <c r="J35" s="22"/>
      <c r="K35" s="14"/>
      <c r="L35" s="14"/>
      <c r="M35" s="2">
        <f t="shared" si="2"/>
        <v>0</v>
      </c>
      <c r="N35" s="2">
        <f t="shared" si="4"/>
        <v>0</v>
      </c>
      <c r="O35" s="23"/>
    </row>
    <row r="36" spans="1:15" ht="18.75">
      <c r="A36" s="25"/>
      <c r="B36" s="5"/>
      <c r="C36" s="33"/>
      <c r="D36" s="32"/>
      <c r="E36" s="47"/>
      <c r="F36" s="3"/>
      <c r="G36" s="14"/>
      <c r="H36" s="14"/>
      <c r="I36" s="22"/>
      <c r="J36" s="22"/>
      <c r="K36" s="14"/>
      <c r="L36" s="14"/>
      <c r="M36" s="2">
        <f t="shared" si="2"/>
        <v>0</v>
      </c>
      <c r="N36" s="2">
        <f t="shared" ref="N36:N57" si="5">ROUNDUP(M36/23*100,0)</f>
        <v>0</v>
      </c>
      <c r="O36" s="23"/>
    </row>
    <row r="37" spans="1:15" ht="18.75">
      <c r="A37" s="25"/>
      <c r="B37" s="5"/>
      <c r="C37" s="33"/>
      <c r="D37" s="32"/>
      <c r="E37" s="47"/>
      <c r="F37" s="3"/>
      <c r="G37" s="13"/>
      <c r="H37" s="14"/>
      <c r="I37" s="22"/>
      <c r="J37" s="22"/>
      <c r="K37" s="14"/>
      <c r="L37" s="14"/>
      <c r="M37" s="2">
        <f t="shared" si="2"/>
        <v>0</v>
      </c>
      <c r="N37" s="2">
        <f t="shared" si="5"/>
        <v>0</v>
      </c>
      <c r="O37" s="23"/>
    </row>
    <row r="38" spans="1:15" ht="18.75">
      <c r="A38" s="25"/>
      <c r="B38" s="5"/>
      <c r="C38" s="33"/>
      <c r="D38" s="32"/>
      <c r="E38" s="47"/>
      <c r="F38" s="3"/>
      <c r="G38" s="13"/>
      <c r="H38" s="14"/>
      <c r="I38" s="22"/>
      <c r="J38" s="22"/>
      <c r="K38" s="14"/>
      <c r="L38" s="14"/>
      <c r="M38" s="2">
        <f t="shared" si="2"/>
        <v>0</v>
      </c>
      <c r="N38" s="2">
        <f t="shared" si="5"/>
        <v>0</v>
      </c>
      <c r="O38" s="23"/>
    </row>
    <row r="39" spans="1:15" ht="18.75">
      <c r="A39" s="25"/>
      <c r="B39" s="5"/>
      <c r="C39" s="32"/>
      <c r="D39" s="32"/>
      <c r="E39" s="47"/>
      <c r="F39" s="3"/>
      <c r="G39" s="13"/>
      <c r="H39" s="14"/>
      <c r="I39" s="22"/>
      <c r="J39" s="22"/>
      <c r="K39" s="14"/>
      <c r="L39" s="14"/>
      <c r="M39" s="2">
        <f t="shared" si="2"/>
        <v>0</v>
      </c>
      <c r="N39" s="2">
        <f t="shared" si="5"/>
        <v>0</v>
      </c>
      <c r="O39" s="23"/>
    </row>
    <row r="40" spans="1:15" ht="18.75">
      <c r="A40" s="25"/>
      <c r="B40" s="5"/>
      <c r="C40" s="33"/>
      <c r="D40" s="32"/>
      <c r="E40" s="47"/>
      <c r="F40" s="3"/>
      <c r="G40" s="13"/>
      <c r="H40" s="14"/>
      <c r="I40" s="22"/>
      <c r="J40" s="22"/>
      <c r="K40" s="14"/>
      <c r="L40" s="14"/>
      <c r="M40" s="2">
        <f t="shared" si="2"/>
        <v>0</v>
      </c>
      <c r="N40" s="2">
        <f t="shared" si="5"/>
        <v>0</v>
      </c>
      <c r="O40" s="23"/>
    </row>
    <row r="41" spans="1:15" ht="18.75">
      <c r="A41" s="25"/>
      <c r="B41" s="5"/>
      <c r="C41" s="33"/>
      <c r="D41" s="32"/>
      <c r="E41" s="47"/>
      <c r="F41" s="3"/>
      <c r="G41" s="13"/>
      <c r="H41" s="14"/>
      <c r="I41" s="22"/>
      <c r="J41" s="22"/>
      <c r="K41" s="14"/>
      <c r="L41" s="14"/>
      <c r="M41" s="2">
        <f t="shared" si="2"/>
        <v>0</v>
      </c>
      <c r="N41" s="2">
        <f t="shared" si="5"/>
        <v>0</v>
      </c>
      <c r="O41" s="23"/>
    </row>
    <row r="42" spans="1:15" ht="18.75">
      <c r="A42" s="25"/>
      <c r="B42" s="5"/>
      <c r="C42" s="33"/>
      <c r="D42" s="32"/>
      <c r="E42" s="47"/>
      <c r="F42" s="3"/>
      <c r="G42" s="13"/>
      <c r="H42" s="14"/>
      <c r="I42" s="22"/>
      <c r="J42" s="22"/>
      <c r="K42" s="14"/>
      <c r="L42" s="14"/>
      <c r="M42" s="2">
        <f t="shared" si="2"/>
        <v>0</v>
      </c>
      <c r="N42" s="2">
        <f t="shared" si="5"/>
        <v>0</v>
      </c>
      <c r="O42" s="23"/>
    </row>
    <row r="43" spans="1:15" ht="18.75">
      <c r="A43" s="25"/>
      <c r="B43" s="5"/>
      <c r="C43" s="33"/>
      <c r="D43" s="32"/>
      <c r="E43" s="47"/>
      <c r="F43" s="3"/>
      <c r="G43" s="14"/>
      <c r="H43" s="14"/>
      <c r="I43" s="22"/>
      <c r="J43" s="22"/>
      <c r="K43" s="14"/>
      <c r="L43" s="14"/>
      <c r="M43" s="2">
        <f t="shared" si="2"/>
        <v>0</v>
      </c>
      <c r="N43" s="2">
        <f t="shared" si="5"/>
        <v>0</v>
      </c>
      <c r="O43" s="23"/>
    </row>
    <row r="44" spans="1:15" ht="18.75">
      <c r="A44" s="25"/>
      <c r="B44" s="5"/>
      <c r="C44" s="33"/>
      <c r="D44" s="32"/>
      <c r="E44" s="47"/>
      <c r="F44" s="3"/>
      <c r="G44" s="13"/>
      <c r="H44" s="14"/>
      <c r="I44" s="22"/>
      <c r="J44" s="22"/>
      <c r="K44" s="14"/>
      <c r="L44" s="14"/>
      <c r="M44" s="2">
        <f t="shared" si="2"/>
        <v>0</v>
      </c>
      <c r="N44" s="2">
        <f t="shared" si="5"/>
        <v>0</v>
      </c>
      <c r="O44" s="23"/>
    </row>
    <row r="45" spans="1:15" ht="18.75">
      <c r="A45" s="25"/>
      <c r="B45" s="5"/>
      <c r="C45" s="33"/>
      <c r="D45" s="32"/>
      <c r="E45" s="47"/>
      <c r="F45" s="3"/>
      <c r="G45" s="14"/>
      <c r="H45" s="14"/>
      <c r="I45" s="22"/>
      <c r="J45" s="22"/>
      <c r="K45" s="14"/>
      <c r="L45" s="14"/>
      <c r="M45" s="2">
        <f t="shared" si="2"/>
        <v>0</v>
      </c>
      <c r="N45" s="2">
        <f t="shared" si="5"/>
        <v>0</v>
      </c>
      <c r="O45" s="23"/>
    </row>
    <row r="46" spans="1:15" ht="18.75">
      <c r="A46" s="25"/>
      <c r="B46" s="5"/>
      <c r="C46" s="33"/>
      <c r="D46" s="32"/>
      <c r="E46" s="47"/>
      <c r="F46" s="3"/>
      <c r="G46" s="14"/>
      <c r="H46" s="14"/>
      <c r="I46" s="22"/>
      <c r="J46" s="22"/>
      <c r="K46" s="14"/>
      <c r="L46" s="14"/>
      <c r="M46" s="2">
        <f t="shared" si="2"/>
        <v>0</v>
      </c>
      <c r="N46" s="2">
        <f t="shared" si="5"/>
        <v>0</v>
      </c>
      <c r="O46" s="23"/>
    </row>
    <row r="47" spans="1:15" ht="18.75">
      <c r="A47" s="25"/>
      <c r="B47" s="5"/>
      <c r="C47" s="33"/>
      <c r="D47" s="32"/>
      <c r="E47" s="47"/>
      <c r="F47" s="3"/>
      <c r="G47" s="14"/>
      <c r="H47" s="14"/>
      <c r="I47" s="22"/>
      <c r="J47" s="22"/>
      <c r="K47" s="14"/>
      <c r="L47" s="14"/>
      <c r="M47" s="2">
        <f t="shared" si="2"/>
        <v>0</v>
      </c>
      <c r="N47" s="2">
        <f t="shared" si="5"/>
        <v>0</v>
      </c>
      <c r="O47" s="23"/>
    </row>
    <row r="48" spans="1:15" ht="18.75">
      <c r="A48" s="25"/>
      <c r="B48" s="5"/>
      <c r="C48" s="33"/>
      <c r="D48" s="32"/>
      <c r="E48" s="47"/>
      <c r="F48" s="3"/>
      <c r="G48" s="13"/>
      <c r="H48" s="14"/>
      <c r="I48" s="22"/>
      <c r="J48" s="22"/>
      <c r="K48" s="14"/>
      <c r="L48" s="14"/>
      <c r="M48" s="2">
        <f t="shared" si="2"/>
        <v>0</v>
      </c>
      <c r="N48" s="2">
        <f t="shared" si="5"/>
        <v>0</v>
      </c>
      <c r="O48" s="23"/>
    </row>
    <row r="49" spans="1:15" ht="18.75">
      <c r="A49" s="25"/>
      <c r="B49" s="5"/>
      <c r="C49" s="33"/>
      <c r="D49" s="32"/>
      <c r="E49" s="47"/>
      <c r="F49" s="3"/>
      <c r="G49" s="14"/>
      <c r="H49" s="14"/>
      <c r="I49" s="22"/>
      <c r="J49" s="22"/>
      <c r="K49" s="14"/>
      <c r="L49" s="14"/>
      <c r="M49" s="2">
        <f t="shared" si="2"/>
        <v>0</v>
      </c>
      <c r="N49" s="2">
        <f t="shared" si="5"/>
        <v>0</v>
      </c>
      <c r="O49" s="23"/>
    </row>
    <row r="50" spans="1:15" ht="18.75">
      <c r="A50" s="25"/>
      <c r="B50" s="5"/>
      <c r="C50" s="33"/>
      <c r="D50" s="32"/>
      <c r="E50" s="47"/>
      <c r="F50" s="3"/>
      <c r="G50" s="14"/>
      <c r="H50" s="14"/>
      <c r="I50" s="22"/>
      <c r="J50" s="22"/>
      <c r="K50" s="14"/>
      <c r="L50" s="14"/>
      <c r="M50" s="2">
        <f t="shared" si="2"/>
        <v>0</v>
      </c>
      <c r="N50" s="2">
        <f t="shared" si="5"/>
        <v>0</v>
      </c>
      <c r="O50" s="23"/>
    </row>
    <row r="51" spans="1:15" ht="18.75">
      <c r="A51" s="25"/>
      <c r="B51" s="5"/>
      <c r="C51" s="33"/>
      <c r="D51" s="32"/>
      <c r="E51" s="47"/>
      <c r="F51" s="3"/>
      <c r="G51" s="14"/>
      <c r="H51" s="14"/>
      <c r="I51" s="22"/>
      <c r="J51" s="22"/>
      <c r="K51" s="14"/>
      <c r="L51" s="14"/>
      <c r="M51" s="2">
        <f t="shared" si="2"/>
        <v>0</v>
      </c>
      <c r="N51" s="2">
        <f t="shared" si="5"/>
        <v>0</v>
      </c>
      <c r="O51" s="23"/>
    </row>
    <row r="52" spans="1:15" ht="18.75">
      <c r="A52" s="25"/>
      <c r="B52" s="31"/>
      <c r="C52" s="49"/>
      <c r="D52" s="9"/>
      <c r="E52" s="47"/>
      <c r="F52" s="3"/>
      <c r="G52" s="14"/>
      <c r="H52" s="14"/>
      <c r="I52" s="22"/>
      <c r="J52" s="22"/>
      <c r="K52" s="14"/>
      <c r="L52" s="14"/>
      <c r="M52" s="2">
        <f t="shared" si="2"/>
        <v>0</v>
      </c>
      <c r="N52" s="2">
        <f t="shared" si="5"/>
        <v>0</v>
      </c>
      <c r="O52" s="23"/>
    </row>
    <row r="53" spans="1:15" ht="18.75">
      <c r="A53" s="25"/>
      <c r="B53" s="31"/>
      <c r="C53" s="50"/>
      <c r="D53" s="9"/>
      <c r="E53" s="47"/>
      <c r="F53" s="3"/>
      <c r="G53" s="14"/>
      <c r="H53" s="14"/>
      <c r="I53" s="22"/>
      <c r="J53" s="22"/>
      <c r="K53" s="14"/>
      <c r="L53" s="14"/>
      <c r="M53" s="2">
        <f t="shared" si="2"/>
        <v>0</v>
      </c>
      <c r="N53" s="2">
        <f t="shared" si="5"/>
        <v>0</v>
      </c>
      <c r="O53" s="23"/>
    </row>
    <row r="54" spans="1:15" ht="18.75">
      <c r="A54" s="25"/>
      <c r="B54" s="31"/>
      <c r="C54" s="50"/>
      <c r="D54" s="9"/>
      <c r="E54" s="47"/>
      <c r="F54" s="3"/>
      <c r="G54" s="14"/>
      <c r="H54" s="14"/>
      <c r="I54" s="22"/>
      <c r="J54" s="22"/>
      <c r="K54" s="14"/>
      <c r="L54" s="14"/>
      <c r="M54" s="2">
        <f t="shared" si="2"/>
        <v>0</v>
      </c>
      <c r="N54" s="2">
        <f t="shared" si="5"/>
        <v>0</v>
      </c>
      <c r="O54" s="23"/>
    </row>
    <row r="55" spans="1:15" ht="18.75">
      <c r="A55" s="25"/>
      <c r="B55" s="31"/>
      <c r="C55" s="50"/>
      <c r="D55" s="9"/>
      <c r="E55" s="47"/>
      <c r="F55" s="3"/>
      <c r="G55" s="18"/>
      <c r="H55" s="14"/>
      <c r="I55" s="22"/>
      <c r="J55" s="22"/>
      <c r="K55" s="14"/>
      <c r="L55" s="14"/>
      <c r="M55" s="2">
        <f t="shared" si="2"/>
        <v>0</v>
      </c>
      <c r="N55" s="2">
        <f t="shared" si="5"/>
        <v>0</v>
      </c>
      <c r="O55" s="23"/>
    </row>
    <row r="56" spans="1:15" ht="18.75">
      <c r="A56" s="25"/>
      <c r="B56" s="31"/>
      <c r="C56" s="49"/>
      <c r="D56" s="9"/>
      <c r="E56" s="47"/>
      <c r="F56" s="3"/>
      <c r="G56" s="14"/>
      <c r="H56" s="14"/>
      <c r="I56" s="22"/>
      <c r="J56" s="22"/>
      <c r="K56" s="14"/>
      <c r="L56" s="14"/>
      <c r="M56" s="2">
        <f t="shared" si="2"/>
        <v>0</v>
      </c>
      <c r="N56" s="2">
        <f t="shared" si="5"/>
        <v>0</v>
      </c>
      <c r="O56" s="23"/>
    </row>
    <row r="57" spans="1:15" ht="18.75">
      <c r="A57" s="25"/>
      <c r="B57" s="31"/>
      <c r="C57" s="50"/>
      <c r="D57" s="9"/>
      <c r="E57" s="47"/>
      <c r="F57" s="3"/>
      <c r="G57" s="14"/>
      <c r="H57" s="14"/>
      <c r="I57" s="22"/>
      <c r="J57" s="22"/>
      <c r="K57" s="14"/>
      <c r="L57" s="14"/>
      <c r="M57" s="2">
        <f t="shared" si="2"/>
        <v>0</v>
      </c>
      <c r="N57" s="2">
        <f t="shared" si="5"/>
        <v>0</v>
      </c>
      <c r="O57" s="23"/>
    </row>
    <row r="58" spans="1:15" ht="18.75">
      <c r="A58" s="25"/>
      <c r="B58" s="5"/>
      <c r="C58" s="50"/>
      <c r="D58" s="9"/>
      <c r="E58" s="47"/>
      <c r="F58" s="3"/>
      <c r="G58" s="14"/>
      <c r="H58" s="14"/>
      <c r="I58" s="22"/>
      <c r="J58" s="22"/>
      <c r="K58" s="14"/>
      <c r="L58" s="14"/>
      <c r="O58" s="23"/>
    </row>
    <row r="59" spans="1:15" ht="18.75">
      <c r="A59" s="25"/>
      <c r="B59" s="5"/>
      <c r="C59" s="50"/>
      <c r="D59" s="9"/>
      <c r="E59" s="47"/>
      <c r="F59" s="3"/>
      <c r="G59" s="14"/>
      <c r="H59" s="14"/>
      <c r="I59" s="22"/>
      <c r="J59" s="22"/>
      <c r="K59" s="14"/>
      <c r="L59" s="14"/>
      <c r="O59" s="23"/>
    </row>
    <row r="60" spans="1:15" ht="18.75">
      <c r="A60" s="25"/>
      <c r="B60" s="5"/>
      <c r="C60" s="50"/>
      <c r="D60" s="9"/>
      <c r="E60" s="47"/>
      <c r="F60" s="3"/>
      <c r="G60" s="14"/>
      <c r="H60" s="14"/>
      <c r="I60" s="22"/>
      <c r="J60" s="22"/>
      <c r="K60" s="14"/>
      <c r="L60" s="14"/>
      <c r="O60" s="23"/>
    </row>
    <row r="61" spans="1:15" ht="18.75">
      <c r="A61" s="25"/>
      <c r="B61" s="5"/>
      <c r="C61" s="50"/>
      <c r="D61" s="9"/>
      <c r="E61" s="47"/>
      <c r="F61" s="3"/>
      <c r="G61" s="13"/>
      <c r="H61" s="14"/>
      <c r="I61" s="22"/>
      <c r="J61" s="22"/>
      <c r="K61" s="14"/>
      <c r="L61" s="14"/>
      <c r="O61" s="23"/>
    </row>
    <row r="62" spans="1:15" ht="18.75">
      <c r="A62" s="25"/>
      <c r="B62" s="5"/>
      <c r="C62" s="9"/>
      <c r="D62" s="9"/>
      <c r="E62" s="8"/>
      <c r="F62" s="3"/>
      <c r="G62" s="14"/>
      <c r="H62" s="14"/>
      <c r="I62" s="22"/>
      <c r="J62" s="22"/>
      <c r="K62" s="14"/>
      <c r="L62" s="14"/>
      <c r="O62" s="23"/>
    </row>
    <row r="63" spans="1:15" ht="18.75">
      <c r="A63" s="25"/>
      <c r="B63" s="5"/>
      <c r="C63" s="9"/>
      <c r="D63" s="9"/>
      <c r="E63" s="8"/>
      <c r="F63" s="3"/>
      <c r="G63" s="14"/>
      <c r="H63" s="14"/>
      <c r="I63" s="22"/>
      <c r="J63" s="22"/>
      <c r="K63" s="14"/>
      <c r="L63" s="14"/>
      <c r="O63" s="23"/>
    </row>
    <row r="64" spans="1:15" ht="18.75">
      <c r="A64" s="25"/>
      <c r="B64" s="5"/>
      <c r="C64" s="9"/>
      <c r="D64" s="9"/>
      <c r="E64" s="8"/>
      <c r="F64" s="3"/>
      <c r="G64" s="14"/>
      <c r="H64" s="14"/>
      <c r="I64" s="22"/>
      <c r="J64" s="22"/>
      <c r="K64" s="14"/>
      <c r="L64" s="14"/>
      <c r="O64" s="23"/>
    </row>
    <row r="65" spans="1:15" ht="18.75">
      <c r="A65" s="25"/>
      <c r="B65" s="5"/>
      <c r="C65" s="9"/>
      <c r="D65" s="9"/>
      <c r="E65" s="8"/>
      <c r="F65" s="3"/>
      <c r="G65" s="13"/>
      <c r="H65" s="14"/>
      <c r="I65" s="22"/>
      <c r="J65" s="22"/>
      <c r="K65" s="14"/>
      <c r="L65" s="14"/>
      <c r="O65" s="23"/>
    </row>
    <row r="66" spans="1:15" ht="18.75">
      <c r="A66" s="25"/>
      <c r="B66" s="6"/>
      <c r="C66" s="9"/>
      <c r="D66" s="9"/>
      <c r="E66" s="8"/>
      <c r="F66" s="3"/>
      <c r="G66" s="14"/>
      <c r="H66" s="14"/>
      <c r="I66" s="22"/>
      <c r="J66" s="22"/>
      <c r="K66" s="14"/>
      <c r="L66" s="14"/>
      <c r="O66" s="23"/>
    </row>
    <row r="67" spans="1:15" ht="18.75">
      <c r="A67" s="25"/>
      <c r="B67" s="6"/>
      <c r="C67" s="9"/>
      <c r="D67" s="9"/>
      <c r="E67" s="8"/>
      <c r="F67" s="3"/>
      <c r="G67" s="14"/>
      <c r="H67" s="14"/>
      <c r="I67" s="22"/>
      <c r="J67" s="22"/>
      <c r="K67" s="14"/>
      <c r="L67" s="14"/>
      <c r="O67" s="23"/>
    </row>
    <row r="68" spans="1:15" ht="18.75">
      <c r="A68" s="25"/>
      <c r="B68" s="6"/>
      <c r="C68" s="9"/>
      <c r="D68" s="9"/>
      <c r="E68" s="8"/>
      <c r="F68" s="3"/>
      <c r="G68" s="14"/>
      <c r="H68" s="14"/>
      <c r="I68" s="22"/>
      <c r="J68" s="22"/>
      <c r="K68" s="14"/>
      <c r="L68" s="14"/>
      <c r="O68" s="23"/>
    </row>
    <row r="69" spans="1:15" ht="18.75">
      <c r="A69" s="25"/>
      <c r="B69" s="6"/>
      <c r="C69" s="9"/>
      <c r="D69" s="9"/>
      <c r="E69" s="8"/>
      <c r="F69" s="3"/>
      <c r="G69" s="19"/>
      <c r="H69" s="14"/>
      <c r="I69" s="22"/>
      <c r="J69" s="22"/>
      <c r="K69" s="14"/>
      <c r="L69" s="14"/>
      <c r="O69" s="23"/>
    </row>
    <row r="70" spans="1:15" ht="18.75">
      <c r="A70" s="25"/>
      <c r="B70" s="6"/>
      <c r="C70" s="9"/>
      <c r="D70" s="9"/>
      <c r="E70" s="8"/>
      <c r="F70" s="3"/>
      <c r="G70" s="14"/>
      <c r="H70" s="14"/>
      <c r="I70" s="22"/>
      <c r="J70" s="22"/>
      <c r="K70" s="14"/>
      <c r="L70" s="14"/>
      <c r="O70" s="23"/>
    </row>
    <row r="71" spans="1:15" ht="18.75">
      <c r="A71" s="25"/>
      <c r="B71" s="6"/>
      <c r="C71" s="9"/>
      <c r="D71" s="9"/>
      <c r="E71" s="8"/>
      <c r="F71" s="3"/>
      <c r="G71" s="13"/>
      <c r="H71" s="14"/>
      <c r="I71" s="22"/>
      <c r="J71" s="22"/>
      <c r="K71" s="14"/>
      <c r="L71" s="14"/>
      <c r="O71" s="23"/>
    </row>
    <row r="72" spans="1:15" ht="18.75">
      <c r="A72" s="25"/>
      <c r="B72" s="6"/>
      <c r="C72" s="9"/>
      <c r="D72" s="9"/>
      <c r="E72" s="8"/>
      <c r="F72" s="3"/>
      <c r="G72" s="14"/>
      <c r="H72" s="14"/>
      <c r="I72" s="22"/>
      <c r="J72" s="22"/>
      <c r="K72" s="14"/>
      <c r="L72" s="14"/>
      <c r="O72" s="23"/>
    </row>
    <row r="73" spans="1:15" ht="18.75">
      <c r="A73" s="25"/>
      <c r="B73" s="6"/>
      <c r="C73" s="9"/>
      <c r="D73" s="9"/>
      <c r="E73" s="8"/>
      <c r="F73" s="3"/>
      <c r="G73" s="14"/>
      <c r="H73" s="14"/>
      <c r="I73" s="22"/>
      <c r="J73" s="22"/>
      <c r="K73" s="14"/>
      <c r="L73" s="14"/>
      <c r="O73" s="23"/>
    </row>
    <row r="74" spans="1:15" ht="18.75">
      <c r="A74" s="25"/>
      <c r="B74" s="6"/>
      <c r="C74" s="9"/>
      <c r="D74" s="9"/>
      <c r="E74" s="8"/>
      <c r="F74" s="3"/>
      <c r="G74" s="14"/>
      <c r="H74" s="14"/>
      <c r="I74" s="22"/>
      <c r="J74" s="22"/>
      <c r="K74" s="14"/>
      <c r="L74" s="14"/>
      <c r="O74" s="23"/>
    </row>
    <row r="75" spans="1:15" ht="18.75">
      <c r="A75" s="25"/>
      <c r="B75" s="6"/>
      <c r="C75" s="9"/>
      <c r="D75" s="9"/>
      <c r="E75" s="8"/>
      <c r="F75" s="3"/>
      <c r="G75" s="14"/>
      <c r="H75" s="14"/>
      <c r="I75" s="22"/>
      <c r="J75" s="22"/>
      <c r="K75" s="14"/>
      <c r="L75" s="14"/>
      <c r="O75" s="23"/>
    </row>
    <row r="76" spans="1:15" ht="18.75">
      <c r="A76" s="25"/>
      <c r="B76" s="6"/>
      <c r="C76" s="9"/>
      <c r="D76" s="9"/>
      <c r="E76" s="8"/>
      <c r="F76" s="3"/>
      <c r="G76" s="14"/>
      <c r="H76" s="14"/>
      <c r="I76" s="22"/>
      <c r="J76" s="22"/>
      <c r="K76" s="14"/>
      <c r="L76" s="14"/>
      <c r="O76" s="23"/>
    </row>
    <row r="77" spans="1:15" ht="18.75">
      <c r="A77" s="25"/>
      <c r="B77" s="6"/>
      <c r="C77" s="9"/>
      <c r="D77" s="9"/>
      <c r="E77" s="8"/>
      <c r="F77" s="3"/>
      <c r="G77" s="14"/>
      <c r="H77" s="14"/>
      <c r="I77" s="22"/>
      <c r="J77" s="22"/>
      <c r="K77" s="14"/>
      <c r="L77" s="14"/>
      <c r="O77" s="23"/>
    </row>
    <row r="78" spans="1:15" ht="18.75">
      <c r="A78" s="25"/>
      <c r="B78" s="6"/>
      <c r="C78" s="9"/>
      <c r="D78" s="9"/>
      <c r="E78" s="8"/>
      <c r="F78" s="3"/>
      <c r="G78" s="14"/>
      <c r="H78" s="14"/>
      <c r="I78" s="22"/>
      <c r="J78" s="22"/>
      <c r="K78" s="14"/>
      <c r="L78" s="14"/>
      <c r="O78" s="23"/>
    </row>
    <row r="79" spans="1:15" ht="18.75">
      <c r="A79" s="25"/>
      <c r="B79" s="6"/>
      <c r="C79" s="9"/>
      <c r="D79" s="9"/>
      <c r="E79" s="8"/>
      <c r="F79" s="3"/>
      <c r="G79" s="14"/>
      <c r="H79" s="14"/>
      <c r="I79" s="22"/>
      <c r="J79" s="22"/>
      <c r="K79" s="14"/>
      <c r="L79" s="14"/>
      <c r="O79" s="23"/>
    </row>
    <row r="80" spans="1:15" ht="18.75">
      <c r="A80" s="25"/>
      <c r="B80" s="6"/>
      <c r="C80" s="9"/>
      <c r="D80" s="9"/>
      <c r="E80" s="8"/>
      <c r="F80" s="3"/>
      <c r="G80" s="13"/>
      <c r="H80" s="14"/>
      <c r="I80" s="22"/>
      <c r="J80" s="22"/>
      <c r="K80" s="14"/>
      <c r="L80" s="14"/>
      <c r="O80" s="23"/>
    </row>
    <row r="81" spans="1:15" ht="18.75">
      <c r="A81" s="25"/>
      <c r="B81" s="6"/>
      <c r="C81" s="9"/>
      <c r="D81" s="9"/>
      <c r="E81" s="8"/>
      <c r="F81" s="3"/>
      <c r="G81" s="14"/>
      <c r="H81" s="14"/>
      <c r="I81" s="22"/>
      <c r="J81" s="22"/>
      <c r="K81" s="14"/>
      <c r="L81" s="14"/>
      <c r="O81" s="23"/>
    </row>
    <row r="82" spans="1:15" ht="18.75">
      <c r="A82" s="25"/>
      <c r="B82" s="6"/>
      <c r="C82" s="9"/>
      <c r="D82" s="9"/>
      <c r="E82" s="8"/>
      <c r="F82" s="3"/>
      <c r="G82" s="14"/>
      <c r="H82" s="14"/>
      <c r="I82" s="22"/>
      <c r="J82" s="22"/>
      <c r="K82" s="14"/>
      <c r="L82" s="14"/>
      <c r="O82" s="23"/>
    </row>
    <row r="83" spans="1:15" ht="18.75">
      <c r="A83" s="25"/>
      <c r="B83" s="6"/>
      <c r="C83" s="9"/>
      <c r="D83" s="9"/>
      <c r="E83" s="8"/>
      <c r="F83" s="3"/>
      <c r="G83" s="13"/>
      <c r="H83" s="14"/>
      <c r="I83" s="22"/>
      <c r="J83" s="22"/>
      <c r="K83" s="14"/>
      <c r="L83" s="14"/>
      <c r="O83" s="23"/>
    </row>
    <row r="84" spans="1:15" ht="18.75">
      <c r="A84" s="25"/>
      <c r="B84" s="6"/>
      <c r="C84" s="9"/>
      <c r="D84" s="9"/>
      <c r="E84" s="8"/>
      <c r="F84" s="3"/>
      <c r="G84" s="14"/>
      <c r="H84" s="14"/>
      <c r="I84" s="22"/>
      <c r="J84" s="22"/>
      <c r="K84" s="14"/>
      <c r="L84" s="14"/>
      <c r="O84" s="23"/>
    </row>
    <row r="85" spans="1:15" ht="18.75">
      <c r="A85" s="25"/>
      <c r="B85" s="6"/>
      <c r="C85" s="9"/>
      <c r="D85" s="9"/>
      <c r="E85" s="8"/>
      <c r="F85" s="3"/>
      <c r="G85" s="14"/>
      <c r="H85" s="14"/>
      <c r="I85" s="22"/>
      <c r="J85" s="22"/>
      <c r="K85" s="14"/>
      <c r="L85" s="14"/>
      <c r="O85" s="23"/>
    </row>
    <row r="86" spans="1:15" ht="18.75">
      <c r="A86" s="25"/>
      <c r="B86" s="6"/>
      <c r="C86" s="9"/>
      <c r="D86" s="9"/>
      <c r="E86" s="8"/>
      <c r="F86" s="3"/>
      <c r="G86" s="19"/>
      <c r="H86" s="14"/>
      <c r="I86" s="22"/>
      <c r="J86" s="22"/>
      <c r="K86" s="14"/>
      <c r="L86" s="14"/>
      <c r="O86" s="23"/>
    </row>
    <row r="87" spans="1:15" ht="18.75">
      <c r="A87" s="25"/>
      <c r="B87" s="6"/>
      <c r="C87" s="9"/>
      <c r="D87" s="9"/>
      <c r="E87" s="8"/>
      <c r="F87" s="3"/>
      <c r="G87" s="14"/>
      <c r="H87" s="14"/>
      <c r="I87" s="22"/>
      <c r="J87" s="22"/>
      <c r="K87" s="14"/>
      <c r="L87" s="14"/>
      <c r="O87" s="23"/>
    </row>
    <row r="88" spans="1:15" ht="18.75">
      <c r="A88" s="25"/>
      <c r="B88" s="6"/>
      <c r="C88" s="9"/>
      <c r="D88" s="9"/>
      <c r="E88" s="8"/>
      <c r="F88" s="3"/>
      <c r="G88" s="15"/>
      <c r="H88" s="14"/>
      <c r="I88" s="22"/>
      <c r="J88" s="22"/>
      <c r="K88" s="14"/>
      <c r="L88" s="14"/>
      <c r="O88" s="23"/>
    </row>
    <row r="89" spans="1:15" ht="18.75">
      <c r="A89" s="25"/>
      <c r="B89" s="6"/>
      <c r="C89" s="9"/>
      <c r="D89" s="9"/>
      <c r="E89" s="8"/>
      <c r="F89" s="3"/>
      <c r="G89" s="14"/>
      <c r="H89" s="14"/>
      <c r="I89" s="22"/>
      <c r="J89" s="22"/>
      <c r="K89" s="14"/>
      <c r="L89" s="14"/>
      <c r="O89" s="23"/>
    </row>
    <row r="90" spans="1:15" ht="18.75">
      <c r="A90" s="25"/>
      <c r="B90" s="6"/>
      <c r="C90" s="9"/>
      <c r="D90" s="9"/>
      <c r="E90" s="8"/>
      <c r="F90" s="3"/>
      <c r="G90" s="14"/>
      <c r="H90" s="14"/>
      <c r="I90" s="22"/>
      <c r="J90" s="22"/>
      <c r="K90" s="14"/>
      <c r="L90" s="14"/>
      <c r="O90" s="23"/>
    </row>
    <row r="91" spans="1:15" ht="18.75">
      <c r="A91" s="25"/>
      <c r="B91" s="6"/>
      <c r="C91" s="9"/>
      <c r="D91" s="9"/>
      <c r="E91" s="8"/>
      <c r="F91" s="3"/>
      <c r="G91" s="14"/>
      <c r="H91" s="14"/>
      <c r="I91" s="22"/>
      <c r="J91" s="22"/>
      <c r="K91" s="14"/>
      <c r="L91" s="14"/>
      <c r="O91" s="23"/>
    </row>
    <row r="92" spans="1:15" ht="18.75">
      <c r="A92" s="25"/>
      <c r="B92" s="6"/>
      <c r="C92" s="9"/>
      <c r="D92" s="9"/>
      <c r="E92" s="8"/>
      <c r="F92" s="3"/>
      <c r="G92" s="14"/>
      <c r="H92" s="14"/>
      <c r="I92" s="22"/>
      <c r="J92" s="22"/>
      <c r="K92" s="14"/>
      <c r="L92" s="14"/>
      <c r="O92" s="23"/>
    </row>
    <row r="93" spans="1:15" ht="18.75">
      <c r="A93" s="25"/>
      <c r="B93" s="6"/>
      <c r="C93" s="9"/>
      <c r="D93" s="9"/>
      <c r="E93" s="8"/>
      <c r="F93" s="3"/>
      <c r="G93" s="14"/>
      <c r="H93" s="14"/>
      <c r="I93" s="22"/>
      <c r="J93" s="22"/>
      <c r="K93" s="14"/>
      <c r="L93" s="14"/>
      <c r="O93" s="23"/>
    </row>
    <row r="94" spans="1:15" ht="18.75">
      <c r="A94" s="25"/>
      <c r="B94" s="6"/>
      <c r="C94" s="9"/>
      <c r="D94" s="9"/>
      <c r="E94" s="8"/>
      <c r="F94" s="3"/>
      <c r="G94" s="14"/>
      <c r="H94" s="14"/>
      <c r="I94" s="22"/>
      <c r="J94" s="22"/>
      <c r="K94" s="14"/>
      <c r="L94" s="14"/>
      <c r="O94" s="23"/>
    </row>
    <row r="95" spans="1:15" ht="18.75">
      <c r="A95" s="25"/>
      <c r="B95" s="6"/>
      <c r="C95" s="9"/>
      <c r="D95" s="9"/>
      <c r="E95" s="8"/>
      <c r="F95" s="3"/>
      <c r="G95" s="14"/>
      <c r="H95" s="14"/>
      <c r="I95" s="22"/>
      <c r="J95" s="22"/>
      <c r="K95" s="14"/>
      <c r="L95" s="14"/>
      <c r="O95" s="23"/>
    </row>
    <row r="96" spans="1:15" ht="18.75">
      <c r="A96" s="25"/>
      <c r="B96" s="6"/>
      <c r="C96" s="9"/>
      <c r="D96" s="9"/>
      <c r="E96" s="8"/>
      <c r="F96" s="3"/>
      <c r="G96" s="14"/>
      <c r="H96" s="14"/>
      <c r="I96" s="22"/>
      <c r="J96" s="22"/>
      <c r="K96" s="14"/>
      <c r="L96" s="14"/>
      <c r="O96" s="23"/>
    </row>
    <row r="97" spans="1:15" ht="18.75">
      <c r="A97" s="25"/>
      <c r="B97" s="6"/>
      <c r="C97" s="9"/>
      <c r="D97" s="9"/>
      <c r="E97" s="8"/>
      <c r="F97" s="3"/>
      <c r="G97" s="14"/>
      <c r="H97" s="14"/>
      <c r="I97" s="22"/>
      <c r="J97" s="22"/>
      <c r="K97" s="14"/>
      <c r="L97" s="14"/>
      <c r="O97" s="23"/>
    </row>
    <row r="98" spans="1:15" ht="18.75">
      <c r="A98" s="25"/>
      <c r="B98" s="6"/>
      <c r="C98" s="9"/>
      <c r="D98" s="9"/>
      <c r="E98" s="8"/>
      <c r="F98" s="3"/>
      <c r="G98" s="14"/>
      <c r="H98" s="14"/>
      <c r="I98" s="22"/>
      <c r="J98" s="22"/>
      <c r="K98" s="14"/>
      <c r="L98" s="14"/>
      <c r="O98" s="23"/>
    </row>
    <row r="99" spans="1:15" ht="18.75">
      <c r="A99" s="25"/>
      <c r="B99" s="6"/>
      <c r="C99" s="9"/>
      <c r="D99" s="9"/>
      <c r="E99" s="8"/>
      <c r="F99" s="3"/>
      <c r="G99" s="14"/>
      <c r="H99" s="14"/>
      <c r="I99" s="22"/>
      <c r="J99" s="22"/>
      <c r="K99" s="14"/>
      <c r="L99" s="14"/>
      <c r="O99" s="23"/>
    </row>
    <row r="100" spans="1:15" ht="18.75">
      <c r="A100" s="25"/>
      <c r="B100" s="6"/>
      <c r="C100" s="9"/>
      <c r="D100" s="9"/>
      <c r="E100" s="8"/>
      <c r="F100" s="3"/>
      <c r="G100" s="14"/>
      <c r="H100" s="14"/>
      <c r="I100" s="22"/>
      <c r="J100" s="22"/>
      <c r="K100" s="14"/>
      <c r="L100" s="14"/>
      <c r="O100" s="23"/>
    </row>
    <row r="101" spans="1:15" ht="18.75">
      <c r="A101" s="25"/>
      <c r="B101" s="6"/>
      <c r="C101" s="9"/>
      <c r="D101" s="9"/>
      <c r="E101" s="8"/>
      <c r="F101" s="3"/>
      <c r="G101" s="14"/>
      <c r="H101" s="14"/>
      <c r="I101" s="22"/>
      <c r="J101" s="22"/>
      <c r="K101" s="14"/>
      <c r="L101" s="14"/>
      <c r="O101" s="23"/>
    </row>
    <row r="102" spans="1:15" ht="18.75">
      <c r="A102" s="25"/>
      <c r="B102" s="6"/>
      <c r="C102" s="9"/>
      <c r="D102" s="9"/>
      <c r="E102" s="8"/>
      <c r="F102" s="3"/>
      <c r="G102" s="14"/>
      <c r="H102" s="14"/>
      <c r="I102" s="22"/>
      <c r="J102" s="22"/>
      <c r="K102" s="14"/>
      <c r="L102" s="14"/>
      <c r="O102" s="23"/>
    </row>
    <row r="103" spans="1:15" ht="18.75">
      <c r="A103" s="25"/>
      <c r="B103" s="6"/>
      <c r="C103" s="9"/>
      <c r="D103" s="9"/>
      <c r="E103" s="8"/>
      <c r="F103" s="3"/>
      <c r="G103" s="14"/>
      <c r="H103" s="14"/>
      <c r="I103" s="22"/>
      <c r="J103" s="22"/>
      <c r="K103" s="14"/>
      <c r="L103" s="14"/>
      <c r="O103" s="23"/>
    </row>
    <row r="104" spans="1:15" ht="18.75">
      <c r="A104" s="25"/>
      <c r="B104" s="6"/>
      <c r="C104" s="9"/>
      <c r="D104" s="9"/>
      <c r="E104" s="8"/>
      <c r="F104" s="3"/>
      <c r="G104" s="14"/>
      <c r="H104" s="14"/>
      <c r="I104" s="22"/>
      <c r="J104" s="22"/>
      <c r="K104" s="14"/>
      <c r="L104" s="14"/>
      <c r="O104" s="23"/>
    </row>
    <row r="105" spans="1:15" ht="18.75">
      <c r="A105" s="25"/>
      <c r="B105" s="6"/>
      <c r="C105" s="9"/>
      <c r="D105" s="9"/>
      <c r="E105" s="8"/>
      <c r="F105" s="3"/>
      <c r="G105" s="16"/>
      <c r="H105" s="14"/>
      <c r="I105" s="22"/>
      <c r="J105" s="22"/>
      <c r="K105" s="14"/>
      <c r="L105" s="14"/>
      <c r="O105" s="23"/>
    </row>
    <row r="106" spans="1:15" ht="18.75">
      <c r="A106" s="25"/>
      <c r="B106" s="6"/>
      <c r="C106" s="9"/>
      <c r="D106" s="9"/>
      <c r="E106" s="8"/>
      <c r="F106" s="3"/>
      <c r="G106" s="14"/>
      <c r="H106" s="14"/>
      <c r="I106" s="22"/>
      <c r="J106" s="22"/>
      <c r="K106" s="14"/>
      <c r="L106" s="14"/>
      <c r="O106" s="23"/>
    </row>
    <row r="107" spans="1:15" ht="18.75">
      <c r="A107" s="25"/>
      <c r="B107" s="6"/>
      <c r="C107" s="9"/>
      <c r="D107" s="9"/>
      <c r="E107" s="8"/>
      <c r="F107" s="3"/>
      <c r="G107" s="14"/>
      <c r="H107" s="14"/>
      <c r="I107" s="22"/>
      <c r="J107" s="22"/>
      <c r="K107" s="14"/>
      <c r="L107" s="14"/>
      <c r="O107" s="23"/>
    </row>
    <row r="108" spans="1:15" ht="18.75">
      <c r="A108" s="25"/>
      <c r="B108" s="6"/>
      <c r="C108" s="9"/>
      <c r="D108" s="9"/>
      <c r="E108" s="8"/>
      <c r="F108" s="3"/>
      <c r="G108" s="18"/>
      <c r="H108" s="14"/>
      <c r="I108" s="22"/>
      <c r="J108" s="22"/>
      <c r="K108" s="14"/>
      <c r="L108" s="14"/>
      <c r="O108" s="23"/>
    </row>
    <row r="109" spans="1:15" ht="18.75">
      <c r="A109" s="25"/>
      <c r="B109" s="6"/>
      <c r="C109" s="9"/>
      <c r="D109" s="9"/>
      <c r="E109" s="8"/>
      <c r="F109" s="3"/>
      <c r="G109" s="14"/>
      <c r="H109" s="14"/>
      <c r="I109" s="22"/>
      <c r="J109" s="22"/>
      <c r="K109" s="14"/>
      <c r="L109" s="14"/>
      <c r="O109" s="23"/>
    </row>
    <row r="110" spans="1:15" ht="18.75">
      <c r="A110" s="25"/>
      <c r="B110" s="6"/>
      <c r="C110" s="9"/>
      <c r="D110" s="9"/>
      <c r="E110" s="8"/>
      <c r="F110" s="3"/>
      <c r="G110" s="14"/>
      <c r="H110" s="14"/>
      <c r="I110" s="22"/>
      <c r="J110" s="22"/>
      <c r="K110" s="14"/>
      <c r="L110" s="14"/>
      <c r="O110" s="23"/>
    </row>
    <row r="111" spans="1:15" ht="18.75">
      <c r="A111" s="25"/>
      <c r="B111" s="6"/>
      <c r="C111" s="9"/>
      <c r="D111" s="9"/>
      <c r="E111" s="8"/>
      <c r="F111" s="3"/>
      <c r="G111" s="14"/>
      <c r="H111" s="14"/>
      <c r="I111" s="22"/>
      <c r="J111" s="22"/>
      <c r="K111" s="14"/>
      <c r="L111" s="14"/>
      <c r="O111" s="23"/>
    </row>
    <row r="112" spans="1:15" ht="18.75">
      <c r="A112" s="25"/>
      <c r="B112" s="6"/>
      <c r="C112" s="9"/>
      <c r="D112" s="9"/>
      <c r="E112" s="8"/>
      <c r="F112" s="3"/>
      <c r="G112" s="17"/>
      <c r="H112" s="14"/>
      <c r="I112" s="22"/>
      <c r="J112" s="22"/>
      <c r="K112" s="14"/>
      <c r="L112" s="14"/>
      <c r="O112" s="23"/>
    </row>
    <row r="113" spans="1:15" ht="18.75">
      <c r="A113" s="25"/>
      <c r="B113" s="6"/>
      <c r="C113" s="9"/>
      <c r="D113" s="9"/>
      <c r="E113" s="8"/>
      <c r="F113" s="3"/>
      <c r="G113" s="14"/>
      <c r="H113" s="14"/>
      <c r="I113" s="22"/>
      <c r="J113" s="22"/>
      <c r="K113" s="14"/>
      <c r="L113" s="14"/>
      <c r="O113" s="23"/>
    </row>
    <row r="114" spans="1:15" ht="18.75">
      <c r="A114" s="25"/>
      <c r="B114" s="6"/>
      <c r="C114" s="9"/>
      <c r="D114" s="9"/>
      <c r="E114" s="8"/>
      <c r="F114" s="3"/>
      <c r="G114" s="14"/>
      <c r="H114" s="14"/>
      <c r="I114" s="22"/>
      <c r="J114" s="22"/>
      <c r="K114" s="14"/>
      <c r="L114" s="14"/>
      <c r="O114" s="23"/>
    </row>
    <row r="115" spans="1:15" ht="18.75">
      <c r="A115" s="25"/>
      <c r="B115" s="6"/>
      <c r="C115" s="9"/>
      <c r="D115" s="9"/>
      <c r="E115" s="8"/>
      <c r="F115" s="3"/>
      <c r="G115" s="14"/>
      <c r="H115" s="14"/>
      <c r="I115" s="22"/>
      <c r="J115" s="22"/>
      <c r="K115" s="14"/>
      <c r="L115" s="14"/>
      <c r="O115" s="23"/>
    </row>
    <row r="116" spans="1:15" ht="18.75">
      <c r="A116" s="25"/>
      <c r="B116" s="6"/>
      <c r="C116" s="9"/>
      <c r="D116" s="9"/>
      <c r="E116" s="8"/>
      <c r="F116" s="3"/>
      <c r="G116" s="14"/>
      <c r="H116" s="14"/>
      <c r="I116" s="22"/>
      <c r="J116" s="22"/>
      <c r="K116" s="14"/>
      <c r="L116" s="14"/>
      <c r="O116" s="23"/>
    </row>
    <row r="117" spans="1:15" ht="18.75">
      <c r="A117" s="25"/>
      <c r="B117" s="6"/>
      <c r="C117" s="9"/>
      <c r="D117" s="9"/>
      <c r="E117" s="8"/>
      <c r="F117" s="3"/>
      <c r="G117" s="20"/>
      <c r="H117" s="20"/>
      <c r="I117" s="22"/>
      <c r="J117" s="22"/>
      <c r="K117" s="20"/>
      <c r="L117" s="20"/>
      <c r="O117" s="23"/>
    </row>
    <row r="118" spans="1:15" ht="18.75">
      <c r="A118" s="25"/>
      <c r="B118" s="6"/>
      <c r="C118" s="9"/>
      <c r="D118" s="9"/>
      <c r="E118" s="8"/>
      <c r="F118" s="3"/>
      <c r="G118" s="14"/>
      <c r="H118" s="14"/>
      <c r="I118" s="22"/>
      <c r="J118" s="22"/>
      <c r="K118" s="14"/>
      <c r="L118" s="14"/>
      <c r="O118" s="23"/>
    </row>
    <row r="119" spans="1:15" ht="18.75">
      <c r="A119" s="25"/>
      <c r="B119" s="6"/>
      <c r="C119" s="9"/>
      <c r="D119" s="9"/>
      <c r="E119" s="8"/>
      <c r="F119" s="3"/>
      <c r="G119" s="14"/>
      <c r="H119" s="14"/>
      <c r="I119" s="22"/>
      <c r="J119" s="22"/>
      <c r="K119" s="14"/>
      <c r="L119" s="14"/>
      <c r="O119" s="23"/>
    </row>
    <row r="120" spans="1:15" ht="18.75">
      <c r="A120" s="25"/>
      <c r="B120" s="6"/>
      <c r="C120" s="9"/>
      <c r="D120" s="9"/>
      <c r="E120" s="8"/>
      <c r="F120" s="3"/>
      <c r="G120" s="14"/>
      <c r="H120" s="14"/>
      <c r="I120" s="22"/>
      <c r="J120" s="22"/>
      <c r="K120" s="14"/>
      <c r="L120" s="14"/>
      <c r="O120" s="23"/>
    </row>
    <row r="121" spans="1:15" ht="18.75">
      <c r="A121" s="25"/>
      <c r="B121" s="6"/>
      <c r="C121" s="9"/>
      <c r="D121" s="9"/>
      <c r="E121" s="8"/>
      <c r="F121" s="3"/>
      <c r="G121" s="14"/>
      <c r="H121" s="14"/>
      <c r="I121" s="22"/>
      <c r="J121" s="22"/>
      <c r="K121" s="14"/>
      <c r="L121" s="14"/>
      <c r="O121" s="23"/>
    </row>
    <row r="122" spans="1:15" ht="18.75">
      <c r="A122" s="25"/>
      <c r="B122" s="6"/>
      <c r="C122" s="9"/>
      <c r="D122" s="9"/>
      <c r="E122" s="8"/>
      <c r="F122" s="3"/>
      <c r="G122" s="14"/>
      <c r="H122" s="14"/>
      <c r="I122" s="22"/>
      <c r="J122" s="22"/>
      <c r="K122" s="14"/>
      <c r="L122" s="14"/>
      <c r="O122" s="23"/>
    </row>
    <row r="123" spans="1:15" ht="18.75">
      <c r="A123" s="25"/>
      <c r="B123" s="6"/>
      <c r="C123" s="9"/>
      <c r="D123" s="9"/>
      <c r="E123" s="8"/>
      <c r="F123" s="3"/>
      <c r="G123" s="14"/>
      <c r="H123" s="14"/>
      <c r="I123" s="22"/>
      <c r="J123" s="22"/>
      <c r="K123" s="14"/>
      <c r="L123" s="14"/>
      <c r="O123" s="23"/>
    </row>
    <row r="124" spans="1:15" ht="18.75">
      <c r="A124" s="25"/>
      <c r="B124" s="6"/>
      <c r="C124" s="9"/>
      <c r="D124" s="9"/>
      <c r="E124" s="8"/>
      <c r="F124" s="3"/>
      <c r="G124" s="20"/>
      <c r="H124" s="20"/>
      <c r="I124" s="22"/>
      <c r="J124" s="22"/>
      <c r="K124" s="20"/>
      <c r="L124" s="20"/>
      <c r="O124" s="23"/>
    </row>
    <row r="125" spans="1:15" ht="18.75">
      <c r="A125" s="25"/>
      <c r="B125" s="6"/>
      <c r="C125" s="9"/>
      <c r="D125" s="9"/>
      <c r="E125" s="8"/>
      <c r="F125" s="3"/>
      <c r="G125" s="14"/>
      <c r="H125" s="14"/>
      <c r="I125" s="22"/>
      <c r="J125" s="22"/>
      <c r="K125" s="14"/>
      <c r="L125" s="14"/>
      <c r="O125" s="23"/>
    </row>
    <row r="126" spans="1:15" ht="18.75">
      <c r="A126" s="25"/>
      <c r="B126" s="6"/>
      <c r="C126" s="9"/>
      <c r="D126" s="9"/>
      <c r="E126" s="8"/>
      <c r="F126" s="3"/>
      <c r="G126" s="13"/>
      <c r="H126" s="14"/>
      <c r="I126" s="22"/>
      <c r="J126" s="22"/>
      <c r="K126" s="14"/>
      <c r="L126" s="14"/>
      <c r="O126" s="23"/>
    </row>
    <row r="127" spans="1:15" ht="18.75">
      <c r="A127" s="25"/>
      <c r="B127" s="6"/>
      <c r="C127" s="9"/>
      <c r="D127" s="9"/>
      <c r="E127" s="8"/>
      <c r="F127" s="3"/>
      <c r="G127" s="14"/>
      <c r="H127" s="14"/>
      <c r="I127" s="22"/>
      <c r="J127" s="22"/>
      <c r="K127" s="14"/>
      <c r="L127" s="14"/>
      <c r="O127" s="23"/>
    </row>
    <row r="128" spans="1:15" ht="18.75">
      <c r="A128" s="25"/>
      <c r="B128" s="6"/>
      <c r="C128" s="9"/>
      <c r="D128" s="9"/>
      <c r="E128" s="8"/>
      <c r="F128" s="3"/>
      <c r="G128" s="14"/>
      <c r="H128" s="14"/>
      <c r="I128" s="22"/>
      <c r="J128" s="22"/>
      <c r="K128" s="14"/>
      <c r="L128" s="14"/>
      <c r="O128" s="23"/>
    </row>
    <row r="129" spans="1:15" ht="18.75">
      <c r="A129" s="25"/>
      <c r="B129" s="6"/>
      <c r="C129" s="9"/>
      <c r="D129" s="9"/>
      <c r="E129" s="8"/>
      <c r="F129" s="3"/>
      <c r="G129" s="15"/>
      <c r="H129" s="14"/>
      <c r="I129" s="22"/>
      <c r="J129" s="22"/>
      <c r="K129" s="14"/>
      <c r="L129" s="14"/>
      <c r="O129" s="23"/>
    </row>
    <row r="130" spans="1:15" ht="18.75">
      <c r="A130" s="25"/>
      <c r="B130" s="6"/>
      <c r="C130" s="9"/>
      <c r="D130" s="9"/>
      <c r="E130" s="8"/>
      <c r="F130" s="3"/>
      <c r="G130" s="14"/>
      <c r="H130" s="14"/>
      <c r="I130" s="22"/>
      <c r="J130" s="22"/>
      <c r="K130" s="14"/>
      <c r="L130" s="14"/>
      <c r="O130" s="23"/>
    </row>
    <row r="131" spans="1:15" ht="18.75">
      <c r="A131" s="25"/>
      <c r="B131" s="6"/>
      <c r="C131" s="9"/>
      <c r="D131" s="9"/>
      <c r="E131" s="8"/>
      <c r="F131" s="3"/>
      <c r="G131" s="14"/>
      <c r="H131" s="14"/>
      <c r="I131" s="22"/>
      <c r="J131" s="22"/>
      <c r="K131" s="14"/>
      <c r="L131" s="14"/>
      <c r="O131" s="23"/>
    </row>
    <row r="132" spans="1:15" ht="18.75">
      <c r="A132" s="25"/>
      <c r="B132" s="6"/>
      <c r="C132" s="9"/>
      <c r="D132" s="9"/>
      <c r="E132" s="8"/>
      <c r="F132" s="3"/>
      <c r="G132" s="21"/>
      <c r="H132" s="14"/>
      <c r="I132" s="22"/>
      <c r="J132" s="22"/>
      <c r="K132" s="14"/>
      <c r="L132" s="14"/>
      <c r="O132" s="23"/>
    </row>
    <row r="133" spans="1:15" ht="18.75">
      <c r="A133" s="25"/>
      <c r="B133" s="6"/>
      <c r="C133" s="9"/>
      <c r="D133" s="9"/>
      <c r="E133" s="8"/>
      <c r="F133" s="3"/>
      <c r="G133" s="14"/>
      <c r="H133" s="14"/>
      <c r="I133" s="22"/>
      <c r="J133" s="22"/>
      <c r="K133" s="14"/>
      <c r="L133" s="14"/>
      <c r="O133" s="23"/>
    </row>
    <row r="134" spans="1:15" ht="18.75">
      <c r="A134" s="25"/>
      <c r="B134" s="6"/>
      <c r="C134" s="9"/>
      <c r="D134" s="9"/>
      <c r="E134" s="8"/>
      <c r="F134" s="3"/>
      <c r="G134" s="14"/>
      <c r="H134" s="14"/>
      <c r="I134" s="22"/>
      <c r="J134" s="22"/>
      <c r="K134" s="14"/>
      <c r="L134" s="14"/>
      <c r="O134" s="23"/>
    </row>
    <row r="135" spans="1:15" ht="18.75">
      <c r="A135" s="25"/>
      <c r="B135" s="6"/>
      <c r="C135" s="9"/>
      <c r="D135" s="9"/>
      <c r="E135" s="8"/>
      <c r="F135" s="3"/>
      <c r="G135" s="14"/>
      <c r="H135" s="14"/>
      <c r="I135" s="22"/>
      <c r="J135" s="22"/>
      <c r="K135" s="14"/>
      <c r="L135" s="14"/>
      <c r="O135" s="23"/>
    </row>
    <row r="136" spans="1:15" ht="18.75">
      <c r="A136" s="25"/>
      <c r="B136" s="6"/>
      <c r="C136" s="9"/>
      <c r="D136" s="9"/>
      <c r="E136" s="8"/>
      <c r="F136" s="3"/>
      <c r="G136" s="14"/>
      <c r="H136" s="14"/>
      <c r="I136" s="22"/>
      <c r="J136" s="22"/>
      <c r="K136" s="14"/>
      <c r="L136" s="14"/>
      <c r="O136" s="23"/>
    </row>
    <row r="137" spans="1:15" ht="18.75">
      <c r="A137" s="25"/>
      <c r="B137" s="6"/>
      <c r="C137" s="9"/>
      <c r="D137" s="9"/>
      <c r="E137" s="8"/>
      <c r="F137" s="3"/>
      <c r="G137" s="14"/>
      <c r="H137" s="14"/>
      <c r="I137" s="22"/>
      <c r="J137" s="22"/>
      <c r="K137" s="14"/>
      <c r="L137" s="14"/>
      <c r="O137" s="23"/>
    </row>
    <row r="138" spans="1:15" ht="18.75">
      <c r="A138" s="25"/>
      <c r="B138" s="6"/>
      <c r="C138" s="9"/>
      <c r="D138" s="9"/>
      <c r="E138" s="8"/>
      <c r="F138" s="3"/>
      <c r="G138" s="15"/>
      <c r="H138" s="14"/>
      <c r="I138" s="22"/>
      <c r="J138" s="22"/>
      <c r="K138" s="14"/>
      <c r="L138" s="14"/>
      <c r="O138" s="23"/>
    </row>
    <row r="139" spans="1:15" ht="18.75">
      <c r="A139" s="25"/>
      <c r="B139" s="6"/>
      <c r="C139" s="9"/>
      <c r="D139" s="9"/>
      <c r="E139" s="8"/>
      <c r="F139" s="3"/>
      <c r="G139" s="14"/>
      <c r="H139" s="14"/>
      <c r="I139" s="22"/>
      <c r="J139" s="22"/>
      <c r="K139" s="14"/>
      <c r="L139" s="14"/>
      <c r="O139" s="23"/>
    </row>
    <row r="140" spans="1:15" ht="15.75"/>
    <row r="141" spans="1:15" ht="15.75"/>
    <row r="142" spans="1:15" ht="15.75"/>
    <row r="143" spans="1:15" ht="15.75"/>
    <row r="144" spans="1:15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ht="15.75"/>
    <row r="322" ht="15.75"/>
    <row r="323" ht="15.75"/>
    <row r="324" ht="15.75"/>
    <row r="325" ht="15.75"/>
    <row r="326" ht="15.75"/>
    <row r="327" ht="15.75"/>
    <row r="328" ht="15.75"/>
    <row r="329" ht="15.75"/>
    <row r="330" ht="15.75"/>
    <row r="331" ht="15.75"/>
    <row r="332" ht="15.75"/>
    <row r="333" ht="15.75"/>
    <row r="334" ht="15.75"/>
    <row r="335" ht="15.75"/>
    <row r="336" ht="15.75"/>
    <row r="337" ht="15.75"/>
    <row r="338" ht="15.75"/>
    <row r="339" ht="15.75"/>
    <row r="340" ht="15.75"/>
    <row r="341" ht="15.75"/>
    <row r="342" ht="15.75"/>
    <row r="343" ht="15.75"/>
    <row r="344" ht="15.75"/>
    <row r="345" ht="15.75"/>
    <row r="346" ht="15.75"/>
    <row r="347" ht="15.75"/>
    <row r="348" ht="15.75"/>
    <row r="349" ht="15.75"/>
    <row r="350" ht="15.75"/>
    <row r="351" ht="15.75"/>
    <row r="352" ht="15.75"/>
    <row r="353" ht="15.75"/>
    <row r="354" ht="15.75"/>
    <row r="355" ht="15.75"/>
    <row r="356" ht="15.75"/>
    <row r="357" ht="15.75"/>
    <row r="358" ht="15.75"/>
    <row r="359" ht="15.75"/>
    <row r="360" ht="15.75"/>
    <row r="361" ht="15.75"/>
    <row r="362" ht="15.75"/>
    <row r="363" ht="15.75"/>
    <row r="364" ht="15.75"/>
    <row r="365" ht="15.75"/>
    <row r="366" ht="15.75"/>
    <row r="367" ht="15.75"/>
    <row r="368" ht="15.75"/>
    <row r="369" ht="15.75"/>
    <row r="370" ht="15.75"/>
    <row r="371" ht="15.75"/>
    <row r="372" ht="15.75"/>
    <row r="373" ht="15.75"/>
    <row r="374" ht="15.75"/>
    <row r="375" ht="15.75"/>
    <row r="376" ht="15.75"/>
    <row r="377" ht="15.75"/>
    <row r="378" ht="15.75"/>
    <row r="379" ht="15.75"/>
    <row r="380" ht="15.75"/>
    <row r="381" ht="15.75"/>
    <row r="382" ht="15.75"/>
    <row r="383" ht="15.75"/>
    <row r="384" ht="15.75"/>
    <row r="385" ht="15.75"/>
    <row r="386" ht="15.75"/>
    <row r="387" ht="15.75"/>
    <row r="388" ht="15.75"/>
    <row r="389" ht="15.75"/>
    <row r="390" ht="15.75"/>
    <row r="391" ht="15.75"/>
    <row r="392" ht="15.75"/>
    <row r="393" ht="15.75"/>
    <row r="394" ht="15.75"/>
    <row r="395" ht="15.75"/>
    <row r="396" ht="15.75"/>
    <row r="397" ht="15.75"/>
    <row r="398" ht="15.75"/>
    <row r="399" ht="15.75"/>
    <row r="400" ht="15.75"/>
    <row r="401" ht="15.75"/>
    <row r="402" ht="15.75"/>
    <row r="403" ht="15.75"/>
    <row r="404" ht="15.75"/>
    <row r="405" ht="15.75"/>
    <row r="406" ht="15.75"/>
    <row r="407" ht="15.75"/>
    <row r="408" ht="15.75"/>
    <row r="409" ht="15.75"/>
    <row r="410" ht="15.75"/>
    <row r="411" ht="15.75"/>
    <row r="412" ht="15.75"/>
    <row r="413" ht="15.75"/>
    <row r="414" ht="15.75"/>
    <row r="415" ht="15.75"/>
    <row r="416" ht="15.75"/>
    <row r="417" ht="15.75"/>
    <row r="418" ht="15.75"/>
    <row r="419" ht="15.75"/>
    <row r="420" ht="15.75"/>
    <row r="421" ht="15.75"/>
    <row r="422" ht="15.75"/>
    <row r="423" ht="15.75"/>
    <row r="424" ht="15.75"/>
    <row r="425" ht="15.75"/>
    <row r="426" ht="15.75"/>
    <row r="427" ht="15.75"/>
    <row r="428" ht="15.75"/>
    <row r="429" ht="15.75"/>
    <row r="430" ht="15.75"/>
    <row r="431" ht="15.75"/>
    <row r="432" ht="15.75"/>
    <row r="433" ht="15.75"/>
    <row r="434" ht="15.75"/>
    <row r="435" ht="15.75"/>
    <row r="436" ht="15.75"/>
    <row r="437" ht="15.75"/>
    <row r="438" ht="15.75"/>
    <row r="439" ht="15.75"/>
    <row r="440" ht="15.75"/>
    <row r="441" ht="15.75"/>
    <row r="442" ht="15.75"/>
    <row r="443" ht="15.75"/>
    <row r="444" ht="15.75"/>
    <row r="445" ht="15.75"/>
    <row r="446" ht="15.75"/>
    <row r="447" ht="15.75"/>
    <row r="448" ht="15.75"/>
    <row r="449" ht="15.75"/>
    <row r="450" ht="15.75"/>
    <row r="451" ht="15.75"/>
    <row r="452" ht="15.75"/>
    <row r="453" ht="15.75"/>
    <row r="454" ht="15.75"/>
    <row r="455" ht="15.75"/>
    <row r="456" ht="15.75"/>
    <row r="457" ht="15.75"/>
    <row r="458" ht="15.75"/>
    <row r="459" ht="15.75"/>
    <row r="460" ht="15.75"/>
    <row r="461" ht="15.75"/>
    <row r="462" ht="15.75"/>
    <row r="463" ht="15.75"/>
    <row r="464" ht="15.75"/>
    <row r="465" ht="15.75"/>
    <row r="466" ht="15.75"/>
    <row r="467" ht="15.75"/>
    <row r="468" ht="15.75"/>
    <row r="469" ht="15.75"/>
    <row r="470" ht="15.75"/>
    <row r="471" ht="15.75"/>
    <row r="472" ht="15.75"/>
    <row r="473" ht="15.75"/>
    <row r="474" ht="15.75"/>
    <row r="475" ht="15.75"/>
    <row r="476" ht="15.75"/>
    <row r="477" ht="15.75"/>
    <row r="478" ht="15.75"/>
    <row r="479" ht="15.75"/>
    <row r="480" ht="15.75"/>
    <row r="481" ht="15.75"/>
    <row r="482" ht="15.75"/>
    <row r="483" ht="15.75"/>
    <row r="484" ht="15.75"/>
    <row r="485" ht="15.75"/>
    <row r="486" ht="15.75"/>
    <row r="487" ht="15.75"/>
    <row r="488" ht="15.75"/>
    <row r="489" ht="15.75"/>
    <row r="490" ht="15.75"/>
    <row r="491" ht="15.75"/>
    <row r="492" ht="15.75"/>
    <row r="493" ht="15.75"/>
    <row r="494" ht="15.75"/>
    <row r="495" ht="15.75"/>
    <row r="496" ht="15.75"/>
    <row r="497" ht="15.75"/>
    <row r="498" ht="15.75"/>
    <row r="499" ht="15.75"/>
    <row r="500" ht="15.75"/>
    <row r="501" ht="15.75"/>
    <row r="502" ht="15.75"/>
    <row r="503" ht="15.75"/>
    <row r="504" ht="15.75"/>
    <row r="505" ht="15.75"/>
    <row r="506" ht="15.75"/>
    <row r="507" ht="15.75"/>
    <row r="508" ht="15.75"/>
    <row r="509" ht="15.75"/>
    <row r="510" ht="15.75"/>
    <row r="511" ht="15.75"/>
    <row r="512" ht="15.75"/>
    <row r="513" ht="15.75"/>
    <row r="514" ht="15.75"/>
    <row r="515" ht="15.75"/>
    <row r="516" ht="15.75"/>
    <row r="517" ht="15.75"/>
    <row r="518" ht="15.75"/>
    <row r="519" ht="15.75"/>
    <row r="520" ht="15.75"/>
    <row r="521" ht="15.75"/>
    <row r="522" ht="15.75"/>
    <row r="523" ht="15.75"/>
    <row r="524" ht="15.75"/>
    <row r="525" ht="15.75"/>
    <row r="526" ht="15.75"/>
    <row r="527" ht="15.75"/>
    <row r="528" ht="15.75"/>
    <row r="529" ht="15.75"/>
    <row r="530" ht="15.75"/>
    <row r="531" ht="15.75"/>
    <row r="532" ht="15.75"/>
    <row r="533" ht="15.75"/>
    <row r="534" ht="15.75"/>
    <row r="535" ht="15.75"/>
    <row r="536" ht="15.75"/>
    <row r="537" ht="15.75"/>
    <row r="538" ht="15.75"/>
    <row r="539" ht="15.75"/>
    <row r="540" ht="15.75"/>
    <row r="541" ht="15.75"/>
    <row r="542" ht="15.75"/>
    <row r="543" ht="15.75"/>
    <row r="544" ht="15.75"/>
    <row r="545" ht="15.75"/>
    <row r="546" ht="15.75"/>
    <row r="547" ht="15.75"/>
    <row r="548" ht="15.75"/>
    <row r="549" ht="15.75"/>
    <row r="550" ht="15.75"/>
    <row r="551" ht="15.75"/>
    <row r="552" ht="15.75"/>
    <row r="553" ht="15.75"/>
    <row r="554" ht="15.75"/>
    <row r="555" ht="15.75"/>
    <row r="556" ht="15.75"/>
    <row r="557" ht="15.75"/>
    <row r="558" ht="15.75"/>
    <row r="559" ht="15.75"/>
    <row r="560" ht="15.75"/>
    <row r="561" ht="15.75"/>
    <row r="562" ht="15.75"/>
    <row r="563" ht="15.75"/>
    <row r="564" ht="15.75"/>
    <row r="565" ht="15.75"/>
    <row r="566" ht="15.75"/>
    <row r="567" ht="15.75"/>
    <row r="568" ht="15.75"/>
    <row r="569" ht="15.75"/>
    <row r="570" ht="15.75"/>
    <row r="571" ht="15.75"/>
    <row r="572" ht="15.75"/>
    <row r="573" ht="15.75"/>
    <row r="574" ht="15.75"/>
    <row r="575" ht="15.75"/>
    <row r="576" ht="15.75"/>
    <row r="577" ht="15.75"/>
    <row r="578" ht="15.75"/>
    <row r="579" ht="15.75"/>
    <row r="580" ht="15.75"/>
    <row r="581" ht="15.75"/>
    <row r="582" ht="15.75"/>
    <row r="583" ht="15.75"/>
    <row r="584" ht="15.75"/>
    <row r="585" ht="15.75"/>
    <row r="586" ht="15.75"/>
    <row r="587" ht="15.75"/>
    <row r="588" ht="15.75"/>
    <row r="589" ht="15.75"/>
    <row r="590" ht="15.75"/>
    <row r="591" ht="15.75"/>
    <row r="592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6" ht="15.75"/>
    <row r="607" ht="15.75"/>
    <row r="608" ht="15.75"/>
    <row r="609" ht="15.75"/>
    <row r="610" ht="15.75"/>
    <row r="611" ht="15.75"/>
    <row r="612" ht="15.75"/>
    <row r="613" ht="15.75"/>
    <row r="614" ht="15.75"/>
    <row r="615" ht="15.75"/>
    <row r="616" ht="15.75"/>
    <row r="617" ht="15.75"/>
    <row r="618" ht="15.75"/>
    <row r="619" ht="15.75"/>
    <row r="620" ht="15.75"/>
    <row r="621" ht="15.75"/>
    <row r="622" ht="15.75"/>
    <row r="623" ht="15.75"/>
    <row r="624" ht="15.75"/>
    <row r="625" ht="15.75"/>
    <row r="626" ht="15.75"/>
    <row r="627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71" ht="15.75"/>
    <row r="672" ht="15.75"/>
    <row r="673" ht="15.75"/>
    <row r="674" ht="15.75"/>
    <row r="675" ht="15.75"/>
    <row r="676" ht="15.75"/>
    <row r="677" ht="15.75"/>
    <row r="678" ht="15.75"/>
    <row r="679" ht="15.75"/>
    <row r="680" ht="15.75"/>
    <row r="681" ht="15.75"/>
    <row r="682" ht="15.75"/>
    <row r="683" ht="15.75"/>
    <row r="684" ht="15.75"/>
    <row r="685" ht="15.75"/>
    <row r="686" ht="15.75"/>
    <row r="687" ht="15.75"/>
    <row r="688" ht="15.75"/>
    <row r="689" ht="15.75"/>
    <row r="690" ht="15.75"/>
    <row r="691" ht="15.75"/>
    <row r="692" ht="15.75"/>
    <row r="693" ht="15.75"/>
    <row r="694" ht="15.75"/>
    <row r="695" ht="15.75"/>
    <row r="696" ht="15.75"/>
    <row r="697" ht="15.75"/>
    <row r="698" ht="15.75"/>
    <row r="699" ht="15.75"/>
    <row r="700" ht="15.75"/>
    <row r="701" ht="15.75"/>
    <row r="702" ht="15.75"/>
    <row r="703" ht="15.75"/>
    <row r="704" ht="15.75"/>
    <row r="705" ht="15.75"/>
    <row r="706" ht="15.75"/>
    <row r="707" ht="15.75"/>
    <row r="708" ht="15.75"/>
    <row r="709" ht="15.75"/>
    <row r="710" ht="15.75"/>
    <row r="711" ht="15.75"/>
    <row r="712" ht="15.75"/>
    <row r="713" ht="15.75"/>
    <row r="714" ht="15.75"/>
    <row r="715" ht="15.75"/>
    <row r="716" ht="15.75"/>
    <row r="717" ht="15.75"/>
    <row r="718" ht="15.75"/>
    <row r="719" ht="15.75"/>
    <row r="720" ht="15.75"/>
    <row r="721" ht="15.75"/>
    <row r="722" ht="15.75"/>
    <row r="723" ht="15.75"/>
    <row r="724" ht="15.75"/>
    <row r="725" ht="15.75"/>
    <row r="726" ht="15.75"/>
    <row r="727" ht="15.75"/>
    <row r="728" ht="15.75"/>
    <row r="729" ht="15.75"/>
    <row r="730" ht="15.75"/>
    <row r="731" ht="15.75"/>
    <row r="732" ht="15.75"/>
    <row r="733" ht="15.75"/>
    <row r="734" ht="15.75"/>
    <row r="735" ht="15.75"/>
    <row r="736" ht="15.75"/>
    <row r="737" ht="15.75"/>
    <row r="738" ht="15.75"/>
    <row r="739" ht="15.75"/>
    <row r="740" ht="15.75"/>
    <row r="741" ht="15.75"/>
    <row r="742" ht="15.75"/>
    <row r="743" ht="15.75"/>
    <row r="744" ht="15.75"/>
    <row r="745" ht="15.75"/>
    <row r="746" ht="15.75"/>
    <row r="747" ht="15.75"/>
    <row r="748" ht="15.75"/>
    <row r="749" ht="15.75"/>
    <row r="750" ht="15.75"/>
    <row r="751" ht="15.75"/>
    <row r="752" ht="15.75"/>
    <row r="753" ht="15.75"/>
    <row r="754" ht="15.75"/>
    <row r="755" ht="15.75"/>
    <row r="756" ht="15.75"/>
    <row r="757" ht="15.75"/>
    <row r="758" ht="15.75"/>
    <row r="759" ht="15.75"/>
    <row r="760" ht="15.75"/>
    <row r="761" ht="15.75"/>
    <row r="762" ht="15.75"/>
    <row r="763" ht="15.75"/>
    <row r="764" ht="15.75"/>
    <row r="765" ht="15.75"/>
    <row r="766" ht="15.75"/>
    <row r="767" ht="15.75"/>
    <row r="768" ht="15.75"/>
    <row r="769" ht="15.75"/>
    <row r="770" ht="15.75"/>
    <row r="771" ht="15.75"/>
    <row r="772" ht="15.75"/>
    <row r="773" ht="15.75"/>
    <row r="774" ht="15.75"/>
    <row r="775" ht="15.75"/>
    <row r="776" ht="15.75"/>
    <row r="777" ht="15.75"/>
    <row r="778" ht="15.75"/>
    <row r="779" ht="15.75"/>
    <row r="780" ht="15.75"/>
    <row r="781" ht="15.75"/>
    <row r="782" ht="15.75"/>
    <row r="783" ht="15.75"/>
    <row r="784" ht="15.75"/>
    <row r="785" ht="15.75"/>
    <row r="786" ht="15.75"/>
    <row r="787" ht="15.75"/>
    <row r="788" ht="15.75"/>
    <row r="789" ht="15.75"/>
    <row r="790" ht="15.75"/>
    <row r="791" ht="15.75"/>
    <row r="792" ht="15.75"/>
    <row r="793" ht="15.75"/>
    <row r="794" ht="15.75"/>
    <row r="795" ht="15.75"/>
    <row r="796" ht="15.75"/>
    <row r="797" ht="15.75"/>
    <row r="798" ht="15.75"/>
    <row r="799" ht="15.75"/>
    <row r="800" ht="15.75"/>
    <row r="801" ht="15.75"/>
    <row r="802" ht="15.75"/>
    <row r="803" ht="15.75"/>
    <row r="804" ht="15.75"/>
    <row r="805" ht="15.75"/>
    <row r="806" ht="15.75"/>
    <row r="807" ht="15.75"/>
    <row r="808" ht="15.75"/>
    <row r="809" ht="15.75"/>
    <row r="810" ht="15.75"/>
    <row r="811" ht="15.75"/>
    <row r="812" ht="15.75"/>
    <row r="813" ht="15.75"/>
    <row r="814" ht="15.75"/>
    <row r="815" ht="15.75"/>
    <row r="816" ht="15.75"/>
    <row r="817" ht="15.75"/>
    <row r="818" ht="15.75"/>
    <row r="819" ht="15.75"/>
    <row r="820" ht="15.75"/>
    <row r="821" ht="15.75"/>
    <row r="822" ht="15.75"/>
    <row r="823" ht="15.75"/>
    <row r="824" ht="15.75"/>
    <row r="825" ht="15.75"/>
    <row r="826" ht="15.75"/>
    <row r="827" ht="15.75"/>
    <row r="828" ht="15.75"/>
    <row r="829" ht="15.75"/>
    <row r="830" ht="15.75"/>
    <row r="831" ht="15.75"/>
    <row r="832" ht="15.75"/>
    <row r="833" ht="15.75"/>
    <row r="834" ht="15.75"/>
    <row r="835" ht="15.75"/>
    <row r="836" ht="15.75"/>
    <row r="837" ht="15.75"/>
    <row r="838" ht="15.75"/>
    <row r="839" ht="15.75"/>
    <row r="840" ht="15.75"/>
    <row r="841" ht="15.75"/>
    <row r="842" ht="15.75"/>
    <row r="843" ht="15.75"/>
    <row r="844" ht="15.75"/>
    <row r="845" ht="15.75"/>
    <row r="846" ht="15.75"/>
    <row r="847" ht="15.75"/>
    <row r="848" ht="15.75"/>
    <row r="849" ht="15.75"/>
    <row r="850" ht="15.75"/>
    <row r="851" ht="15.75"/>
    <row r="852" ht="15.75"/>
    <row r="853" ht="15.75"/>
    <row r="854" ht="15.75"/>
    <row r="855" ht="15.75"/>
    <row r="856" ht="15.75"/>
    <row r="857" ht="15.75"/>
    <row r="858" ht="15.75"/>
    <row r="859" ht="15.75"/>
    <row r="860" ht="15.75"/>
    <row r="861" ht="15.75"/>
    <row r="862" ht="15.75"/>
    <row r="863" ht="15.75"/>
    <row r="864" ht="15.75"/>
    <row r="865" ht="15.75"/>
    <row r="866" ht="15.75"/>
    <row r="867" ht="15.75"/>
    <row r="868" ht="15.75"/>
    <row r="869" ht="15.75"/>
    <row r="870" ht="15.75"/>
    <row r="871" ht="15.75"/>
    <row r="872" ht="15.75"/>
    <row r="873" ht="15.75"/>
    <row r="874" ht="15.75"/>
    <row r="875" ht="15.75"/>
    <row r="876" ht="15.75"/>
    <row r="877" ht="15.75"/>
    <row r="878" ht="15.75"/>
    <row r="879" ht="15.75"/>
    <row r="880" ht="15.75"/>
    <row r="881" ht="15.75"/>
    <row r="882" ht="15.75"/>
    <row r="883" ht="15.75"/>
    <row r="884" ht="15.75"/>
    <row r="885" ht="15.75"/>
    <row r="886" ht="15.75"/>
    <row r="887" ht="15.75"/>
    <row r="888" ht="15.75"/>
    <row r="889" ht="15.75"/>
    <row r="890" ht="15.75"/>
    <row r="891" ht="15.75"/>
    <row r="892" ht="15.75"/>
    <row r="893" ht="15.75"/>
    <row r="894" ht="15.75"/>
    <row r="895" ht="15.75"/>
    <row r="896" ht="15.75"/>
    <row r="897" ht="15.75"/>
    <row r="898" ht="15.75"/>
    <row r="899" ht="15.75"/>
    <row r="900" ht="15.75"/>
    <row r="901" ht="15.75"/>
    <row r="902" ht="15.75"/>
    <row r="903" ht="15.75"/>
    <row r="904" ht="15.75"/>
    <row r="905" ht="15.75"/>
    <row r="906" ht="15.75"/>
    <row r="907" ht="15.75"/>
    <row r="908" ht="15.75"/>
    <row r="909" ht="15.75"/>
    <row r="910" ht="15.75"/>
    <row r="911" ht="15.75"/>
    <row r="912" ht="15.75"/>
    <row r="913" ht="15.75"/>
    <row r="914" ht="15.75"/>
    <row r="915" ht="15.75"/>
    <row r="916" ht="15.75"/>
    <row r="917" ht="15.75"/>
    <row r="918" ht="15.75"/>
    <row r="919" ht="15.75"/>
    <row r="920" ht="15.75"/>
    <row r="921" ht="15.75"/>
    <row r="922" ht="15.75"/>
    <row r="923" ht="15.75"/>
    <row r="924" ht="15.75"/>
    <row r="925" ht="15.75"/>
    <row r="926" ht="15.75"/>
    <row r="927" ht="15.75"/>
    <row r="928" ht="15.75"/>
    <row r="929" ht="15.75"/>
    <row r="930" ht="15.75"/>
    <row r="931" ht="15.75"/>
    <row r="932" ht="15.75"/>
    <row r="933" ht="15.75"/>
    <row r="934" ht="15.75"/>
    <row r="935" ht="15.75"/>
    <row r="936" ht="15.75"/>
    <row r="937" ht="15.75"/>
    <row r="938" ht="15.75"/>
    <row r="939" ht="15.75"/>
    <row r="940" ht="15.75"/>
    <row r="941" ht="15.75"/>
    <row r="942" ht="15.75"/>
    <row r="943" ht="15.75"/>
    <row r="944" ht="15.75"/>
    <row r="945" ht="15.75"/>
    <row r="946" ht="15.75"/>
    <row r="947" ht="15.75"/>
    <row r="948" ht="15.75"/>
    <row r="949" ht="15.75"/>
    <row r="950" ht="15.75"/>
    <row r="951" ht="15.75"/>
    <row r="952" ht="15.75"/>
    <row r="953" ht="15.75"/>
    <row r="954" ht="15.75"/>
    <row r="955" ht="15.75"/>
    <row r="956" ht="15.75"/>
    <row r="957" ht="15.75"/>
    <row r="958" ht="15.75"/>
    <row r="959" ht="15.75"/>
    <row r="960" ht="15.75"/>
    <row r="961" ht="15.75"/>
    <row r="962" ht="15.75"/>
    <row r="963" ht="15.75"/>
    <row r="964" ht="15.75"/>
    <row r="965" ht="15.75"/>
    <row r="966" ht="15.75"/>
    <row r="967" ht="15.75"/>
    <row r="968" ht="15.75"/>
    <row r="969" ht="15.75"/>
    <row r="970" ht="15.75"/>
    <row r="971" ht="15.75"/>
    <row r="972" ht="15.75"/>
    <row r="973" ht="15.75"/>
    <row r="974" ht="15.75"/>
    <row r="975" ht="15.75"/>
    <row r="976" ht="15.75"/>
    <row r="977" ht="15.75"/>
    <row r="978" ht="15.75"/>
    <row r="979" ht="15.75"/>
    <row r="980" ht="15.75"/>
    <row r="981" ht="15.75"/>
    <row r="982" ht="15.75"/>
    <row r="983" ht="15.75"/>
    <row r="984" ht="15.75"/>
    <row r="985" ht="15.75"/>
    <row r="986" ht="15.75"/>
    <row r="987" ht="15.75"/>
    <row r="988" ht="15.75"/>
    <row r="989" ht="15.75"/>
    <row r="990" ht="15.75"/>
    <row r="991" ht="15.75"/>
    <row r="992" ht="15.75"/>
    <row r="993" ht="15.75"/>
    <row r="994" ht="15.75"/>
    <row r="995" ht="15.75"/>
    <row r="996" ht="15.75"/>
    <row r="997" ht="15.75"/>
    <row r="998" ht="15.75"/>
    <row r="999" ht="15.75"/>
  </sheetData>
  <mergeCells count="1">
    <mergeCell ref="N2:N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Aldo Javier Galeano Alfonso</cp:lastModifiedBy>
  <cp:revision/>
  <dcterms:created xsi:type="dcterms:W3CDTF">2020-11-08T21:01:55Z</dcterms:created>
  <dcterms:modified xsi:type="dcterms:W3CDTF">2025-07-15T22:54:11Z</dcterms:modified>
  <cp:category/>
  <cp:contentStatus/>
</cp:coreProperties>
</file>